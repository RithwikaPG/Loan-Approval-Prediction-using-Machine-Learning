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hv\Downloads\"/>
    </mc:Choice>
  </mc:AlternateContent>
  <xr:revisionPtr revIDLastSave="0" documentId="8_{5401AC2B-3A28-4685-97B4-3390045A6879}" xr6:coauthVersionLast="47" xr6:coauthVersionMax="47" xr10:uidLastSave="{00000000-0000-0000-0000-000000000000}"/>
  <bookViews>
    <workbookView xWindow="-98" yWindow="-98" windowWidth="21795" windowHeight="11625" xr2:uid="{8EEC53D0-E36F-4441-8C29-4BF05DE38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0" i="1" l="1"/>
  <c r="AA15" i="1"/>
  <c r="AA10" i="1"/>
  <c r="AA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G2" i="1"/>
  <c r="H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3" i="1"/>
</calcChain>
</file>

<file path=xl/sharedStrings.xml><?xml version="1.0" encoding="utf-8"?>
<sst xmlns="http://schemas.openxmlformats.org/spreadsheetml/2006/main" count="119" uniqueCount="119">
  <si>
    <t>Emp ID</t>
  </si>
  <si>
    <t>Employee Name</t>
  </si>
  <si>
    <t>Basic Salary</t>
  </si>
  <si>
    <t>Working Days</t>
  </si>
  <si>
    <t>Present Days</t>
  </si>
  <si>
    <t>Overtime Hours</t>
  </si>
  <si>
    <t>E001</t>
  </si>
  <si>
    <t>Rahul</t>
  </si>
  <si>
    <t>E002</t>
  </si>
  <si>
    <t>Priya</t>
  </si>
  <si>
    <t>E003</t>
  </si>
  <si>
    <t>Amit</t>
  </si>
  <si>
    <t>E004</t>
  </si>
  <si>
    <t>Sneha</t>
  </si>
  <si>
    <t>E005</t>
  </si>
  <si>
    <t>Arjun</t>
  </si>
  <si>
    <t>E006</t>
  </si>
  <si>
    <t>Neha</t>
  </si>
  <si>
    <t>E007</t>
  </si>
  <si>
    <t>Karan</t>
  </si>
  <si>
    <t>E008</t>
  </si>
  <si>
    <t>Pooja</t>
  </si>
  <si>
    <t>E009</t>
  </si>
  <si>
    <t>Rohan</t>
  </si>
  <si>
    <t>E010</t>
  </si>
  <si>
    <t>Anjali</t>
  </si>
  <si>
    <t>E011</t>
  </si>
  <si>
    <t>Vivek</t>
  </si>
  <si>
    <t>E012</t>
  </si>
  <si>
    <t>Meera</t>
  </si>
  <si>
    <t>E013</t>
  </si>
  <si>
    <t>Akash</t>
  </si>
  <si>
    <t>E014</t>
  </si>
  <si>
    <t>Divya</t>
  </si>
  <si>
    <t>E015</t>
  </si>
  <si>
    <t>Suresh</t>
  </si>
  <si>
    <t>E016</t>
  </si>
  <si>
    <t>Kavya</t>
  </si>
  <si>
    <t>E017</t>
  </si>
  <si>
    <t>Nitin</t>
  </si>
  <si>
    <t>E018</t>
  </si>
  <si>
    <t>Aisha</t>
  </si>
  <si>
    <t>E019</t>
  </si>
  <si>
    <t>Mohan</t>
  </si>
  <si>
    <t>E020</t>
  </si>
  <si>
    <t>Rekha</t>
  </si>
  <si>
    <t>E021</t>
  </si>
  <si>
    <t>Deepak</t>
  </si>
  <si>
    <t>E022</t>
  </si>
  <si>
    <t>Shreya</t>
  </si>
  <si>
    <t>E023</t>
  </si>
  <si>
    <t>Manish</t>
  </si>
  <si>
    <t>E024</t>
  </si>
  <si>
    <t>Nisha</t>
  </si>
  <si>
    <t>E025</t>
  </si>
  <si>
    <t>Abhishek</t>
  </si>
  <si>
    <t>E026</t>
  </si>
  <si>
    <t>Ritu</t>
  </si>
  <si>
    <t>E027</t>
  </si>
  <si>
    <t>Sameer</t>
  </si>
  <si>
    <t>E028</t>
  </si>
  <si>
    <t>Isha</t>
  </si>
  <si>
    <t>E029</t>
  </si>
  <si>
    <t>Harish</t>
  </si>
  <si>
    <t>E030</t>
  </si>
  <si>
    <t>Komal</t>
  </si>
  <si>
    <t>E031</t>
  </si>
  <si>
    <t>Varun</t>
  </si>
  <si>
    <t>E032</t>
  </si>
  <si>
    <t>Tanya</t>
  </si>
  <si>
    <t>E033</t>
  </si>
  <si>
    <t>Gaurav</t>
  </si>
  <si>
    <t>E034</t>
  </si>
  <si>
    <t>Priti</t>
  </si>
  <si>
    <t>E035</t>
  </si>
  <si>
    <t>Aditya</t>
  </si>
  <si>
    <t>E036</t>
  </si>
  <si>
    <t>Simran</t>
  </si>
  <si>
    <t>E037</t>
  </si>
  <si>
    <t>Rohit</t>
  </si>
  <si>
    <t>E038</t>
  </si>
  <si>
    <t>Sakshi</t>
  </si>
  <si>
    <t>E039</t>
  </si>
  <si>
    <t>Naveen</t>
  </si>
  <si>
    <t>E040</t>
  </si>
  <si>
    <t>Bhavna</t>
  </si>
  <si>
    <t>E041</t>
  </si>
  <si>
    <t>Ajay</t>
  </si>
  <si>
    <t>E042</t>
  </si>
  <si>
    <t>Payal</t>
  </si>
  <si>
    <t>E043</t>
  </si>
  <si>
    <t>Vikas</t>
  </si>
  <si>
    <t>E044</t>
  </si>
  <si>
    <t>Riya</t>
  </si>
  <si>
    <t>E045</t>
  </si>
  <si>
    <t>Sanjay</t>
  </si>
  <si>
    <t>E046</t>
  </si>
  <si>
    <t>Anu</t>
  </si>
  <si>
    <t>E047</t>
  </si>
  <si>
    <t>Tarun</t>
  </si>
  <si>
    <t>E048</t>
  </si>
  <si>
    <t>Muskan</t>
  </si>
  <si>
    <t>E049</t>
  </si>
  <si>
    <t>Rajesh</t>
  </si>
  <si>
    <t>E050</t>
  </si>
  <si>
    <t>Sheetal</t>
  </si>
  <si>
    <t>Daily Salary</t>
  </si>
  <si>
    <t>Attendance Salary</t>
  </si>
  <si>
    <t>Hourly Rate</t>
  </si>
  <si>
    <t>OT Pay</t>
  </si>
  <si>
    <t>Gross Salary</t>
  </si>
  <si>
    <t>PF</t>
  </si>
  <si>
    <t>ESI</t>
  </si>
  <si>
    <t>Total Deduction</t>
  </si>
  <si>
    <t>Net Salary</t>
  </si>
  <si>
    <t>Total Employees</t>
  </si>
  <si>
    <t>Total Payroll Cost</t>
  </si>
  <si>
    <t>Total PF Collected</t>
  </si>
  <si>
    <t>Average 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</si>
</sst>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;[Red]&quot;₹&quot;\ #,##0.00"/>
    <numFmt numFmtId="165" formatCode="#,##0;[Red]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2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64" fontId="2" fillId="0" borderId="0" xfId="0" applyNumberFormat="1" applyFont="1" applyAlignment="1">
      <alignment vertical="center" wrapText="1"/>
    </xf>
    <xf numFmtId="165" fontId="0" fillId="0" borderId="0" xfId="0" applyNumberFormat="1"/>
    <xf numFmtId="0" fontId="1" fillId="2" borderId="0" xfId="1"/>
    <xf numFmtId="164" fontId="1" fillId="2" borderId="0" xfId="1" applyNumberFormat="1"/>
  </cellXfs>
  <cellStyles count="2">
    <cellStyle name="20% - Accent2" xfId="1" builtinId="34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&quot;₹&quot;\ #,##0.00;[Red]&quot;₹&quot;\ #,##0.00"/>
    </dxf>
    <dxf>
      <numFmt numFmtId="164" formatCode="&quot;₹&quot;\ #,##0.00;[Red]&quot;₹&quot;\ #,##0.00"/>
    </dxf>
    <dxf>
      <numFmt numFmtId="164" formatCode="&quot;₹&quot;\ #,##0.00;[Red]&quot;₹&quot;\ #,##0.00"/>
    </dxf>
    <dxf>
      <numFmt numFmtId="164" formatCode="&quot;₹&quot;\ #,##0.00;[Red]&quot;₹&quot;\ #,##0.00"/>
    </dxf>
    <dxf>
      <numFmt numFmtId="164" formatCode="&quot;₹&quot;\ #,##0.00;[Red]&quot;₹&quot;\ #,##0.00"/>
    </dxf>
    <dxf>
      <numFmt numFmtId="164" formatCode="&quot;₹&quot;\ #,##0.00;[Red]&quot;₹&quot;\ #,##0.00"/>
    </dxf>
    <dxf>
      <numFmt numFmtId="164" formatCode="&quot;₹&quot;\ #,##0.00;[Red]&quot;₹&quot;\ #,##0.00"/>
    </dxf>
    <dxf>
      <numFmt numFmtId="164" formatCode="&quot;₹&quot;\ #,##0.00;[Red]&quot;₹&quot;\ #,##0.00"/>
    </dxf>
    <dxf>
      <numFmt numFmtId="164" formatCode="&quot;₹&quot;\ #,##0.00;[Red]&quot;₹&quot;\ #,##0.0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&quot;₹&quot;\ #,##0.00;[Red]&quot;₹&quot;\ 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  <a:alpha val="98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ysClr val="windowText" lastClr="000000">
                    <a:lumMod val="65000"/>
                    <a:lumOff val="35000"/>
                    <a:alpha val="98000"/>
                  </a:sysClr>
                </a:solidFill>
              </a:rPr>
              <a:t>Employee Net Salary Analysis</a:t>
            </a:r>
          </a:p>
          <a:p>
            <a:pPr>
              <a:defRPr>
                <a:solidFill>
                  <a:sysClr val="windowText" lastClr="000000">
                    <a:lumMod val="65000"/>
                    <a:lumOff val="35000"/>
                    <a:alpha val="98000"/>
                  </a:sysClr>
                </a:solidFill>
              </a:defRPr>
            </a:pPr>
            <a:endParaRPr lang="en-IN">
              <a:solidFill>
                <a:sysClr val="windowText" lastClr="000000">
                  <a:lumMod val="65000"/>
                  <a:lumOff val="35000"/>
                  <a:alpha val="98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  <a:alpha val="98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Net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Sheet1!$B$2:$B$51</c:f>
              <c:strCache>
                <c:ptCount val="50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Arjun</c:v>
                </c:pt>
                <c:pt idx="5">
                  <c:v>Neha</c:v>
                </c:pt>
                <c:pt idx="6">
                  <c:v>Karan</c:v>
                </c:pt>
                <c:pt idx="7">
                  <c:v>Pooja</c:v>
                </c:pt>
                <c:pt idx="8">
                  <c:v>Rohan</c:v>
                </c:pt>
                <c:pt idx="9">
                  <c:v>Anjali</c:v>
                </c:pt>
                <c:pt idx="10">
                  <c:v>Vivek</c:v>
                </c:pt>
                <c:pt idx="11">
                  <c:v>Meera</c:v>
                </c:pt>
                <c:pt idx="12">
                  <c:v>Akash</c:v>
                </c:pt>
                <c:pt idx="13">
                  <c:v>Divya</c:v>
                </c:pt>
                <c:pt idx="14">
                  <c:v>Suresh</c:v>
                </c:pt>
                <c:pt idx="15">
                  <c:v>Kavya</c:v>
                </c:pt>
                <c:pt idx="16">
                  <c:v>Nitin</c:v>
                </c:pt>
                <c:pt idx="17">
                  <c:v>Aisha</c:v>
                </c:pt>
                <c:pt idx="18">
                  <c:v>Mohan</c:v>
                </c:pt>
                <c:pt idx="19">
                  <c:v>Rekha</c:v>
                </c:pt>
                <c:pt idx="20">
                  <c:v>Deepak</c:v>
                </c:pt>
                <c:pt idx="21">
                  <c:v>Shreya</c:v>
                </c:pt>
                <c:pt idx="22">
                  <c:v>Manish</c:v>
                </c:pt>
                <c:pt idx="23">
                  <c:v>Nisha</c:v>
                </c:pt>
                <c:pt idx="24">
                  <c:v>Abhishek</c:v>
                </c:pt>
                <c:pt idx="25">
                  <c:v>Ritu</c:v>
                </c:pt>
                <c:pt idx="26">
                  <c:v>Sameer</c:v>
                </c:pt>
                <c:pt idx="27">
                  <c:v>Isha</c:v>
                </c:pt>
                <c:pt idx="28">
                  <c:v>Harish</c:v>
                </c:pt>
                <c:pt idx="29">
                  <c:v>Komal</c:v>
                </c:pt>
                <c:pt idx="30">
                  <c:v>Varun</c:v>
                </c:pt>
                <c:pt idx="31">
                  <c:v>Tanya</c:v>
                </c:pt>
                <c:pt idx="32">
                  <c:v>Gaurav</c:v>
                </c:pt>
                <c:pt idx="33">
                  <c:v>Priti</c:v>
                </c:pt>
                <c:pt idx="34">
                  <c:v>Aditya</c:v>
                </c:pt>
                <c:pt idx="35">
                  <c:v>Simran</c:v>
                </c:pt>
                <c:pt idx="36">
                  <c:v>Rohit</c:v>
                </c:pt>
                <c:pt idx="37">
                  <c:v>Sakshi</c:v>
                </c:pt>
                <c:pt idx="38">
                  <c:v>Naveen</c:v>
                </c:pt>
                <c:pt idx="39">
                  <c:v>Bhavna</c:v>
                </c:pt>
                <c:pt idx="40">
                  <c:v>Ajay</c:v>
                </c:pt>
                <c:pt idx="41">
                  <c:v>Payal</c:v>
                </c:pt>
                <c:pt idx="42">
                  <c:v>Vikas</c:v>
                </c:pt>
                <c:pt idx="43">
                  <c:v>Riya</c:v>
                </c:pt>
                <c:pt idx="44">
                  <c:v>Sanjay</c:v>
                </c:pt>
                <c:pt idx="45">
                  <c:v>Anu</c:v>
                </c:pt>
                <c:pt idx="46">
                  <c:v>Tarun</c:v>
                </c:pt>
                <c:pt idx="47">
                  <c:v>Muskan</c:v>
                </c:pt>
                <c:pt idx="48">
                  <c:v>Rajesh</c:v>
                </c:pt>
                <c:pt idx="49">
                  <c:v>Sheetal</c:v>
                </c:pt>
              </c:strCache>
            </c:strRef>
          </c:cat>
          <c:val>
            <c:numRef>
              <c:f>Sheet1!$O$2:$O$51</c:f>
              <c:numCache>
                <c:formatCode>"₹"\ #,##0.00;[Red]"₹"\ #,##0.00</c:formatCode>
                <c:ptCount val="50"/>
                <c:pt idx="0">
                  <c:v>25520.625</c:v>
                </c:pt>
                <c:pt idx="1">
                  <c:v>22266.927083333332</c:v>
                </c:pt>
                <c:pt idx="2">
                  <c:v>22801.333333333332</c:v>
                </c:pt>
                <c:pt idx="3">
                  <c:v>28385.333333333336</c:v>
                </c:pt>
                <c:pt idx="4">
                  <c:v>32446.09375</c:v>
                </c:pt>
                <c:pt idx="5">
                  <c:v>21005.4375</c:v>
                </c:pt>
                <c:pt idx="6">
                  <c:v>37808.333333333336</c:v>
                </c:pt>
                <c:pt idx="7">
                  <c:v>24353.656249999996</c:v>
                </c:pt>
                <c:pt idx="8">
                  <c:v>27160.197916666664</c:v>
                </c:pt>
                <c:pt idx="9">
                  <c:v>20794.583333333332</c:v>
                </c:pt>
                <c:pt idx="10">
                  <c:v>35641.625</c:v>
                </c:pt>
                <c:pt idx="11">
                  <c:v>28072.6875</c:v>
                </c:pt>
                <c:pt idx="12">
                  <c:v>32195.25</c:v>
                </c:pt>
                <c:pt idx="13">
                  <c:v>17711.75</c:v>
                </c:pt>
                <c:pt idx="14">
                  <c:v>42861.5625</c:v>
                </c:pt>
                <c:pt idx="15">
                  <c:v>22597.75</c:v>
                </c:pt>
                <c:pt idx="16">
                  <c:v>30035.8125</c:v>
                </c:pt>
                <c:pt idx="17">
                  <c:v>25302.5</c:v>
                </c:pt>
                <c:pt idx="18">
                  <c:v>34434.666666666664</c:v>
                </c:pt>
                <c:pt idx="19">
                  <c:v>20132.9375</c:v>
                </c:pt>
                <c:pt idx="20">
                  <c:v>39546.0625</c:v>
                </c:pt>
                <c:pt idx="21">
                  <c:v>27160.197916666664</c:v>
                </c:pt>
                <c:pt idx="22">
                  <c:v>23510.239583333332</c:v>
                </c:pt>
                <c:pt idx="23">
                  <c:v>32191.614583333336</c:v>
                </c:pt>
                <c:pt idx="24">
                  <c:v>35303.53125</c:v>
                </c:pt>
                <c:pt idx="25">
                  <c:v>20809.125</c:v>
                </c:pt>
                <c:pt idx="26">
                  <c:v>40800.28125</c:v>
                </c:pt>
                <c:pt idx="27">
                  <c:v>25302.5</c:v>
                </c:pt>
                <c:pt idx="28">
                  <c:v>28152.666666666668</c:v>
                </c:pt>
                <c:pt idx="29">
                  <c:v>20085.677083333332</c:v>
                </c:pt>
                <c:pt idx="30">
                  <c:v>38455.4375</c:v>
                </c:pt>
                <c:pt idx="31">
                  <c:v>29046.979166666664</c:v>
                </c:pt>
                <c:pt idx="32">
                  <c:v>32326.125</c:v>
                </c:pt>
                <c:pt idx="33">
                  <c:v>22597.75</c:v>
                </c:pt>
                <c:pt idx="34">
                  <c:v>45108.25</c:v>
                </c:pt>
                <c:pt idx="35">
                  <c:v>26258.614583333332</c:v>
                </c:pt>
                <c:pt idx="36">
                  <c:v>34260.166666666672</c:v>
                </c:pt>
                <c:pt idx="37">
                  <c:v>20038.416666666664</c:v>
                </c:pt>
                <c:pt idx="38">
                  <c:v>41589.166666666664</c:v>
                </c:pt>
                <c:pt idx="39">
                  <c:v>25193.4375</c:v>
                </c:pt>
                <c:pt idx="40">
                  <c:v>31046.458333333336</c:v>
                </c:pt>
                <c:pt idx="41">
                  <c:v>21692.53125</c:v>
                </c:pt>
                <c:pt idx="42">
                  <c:v>37662.916666666664</c:v>
                </c:pt>
                <c:pt idx="43">
                  <c:v>27222</c:v>
                </c:pt>
                <c:pt idx="44">
                  <c:v>33089.5625</c:v>
                </c:pt>
                <c:pt idx="45">
                  <c:v>19176.822916666668</c:v>
                </c:pt>
                <c:pt idx="46">
                  <c:v>43981.270833333336</c:v>
                </c:pt>
                <c:pt idx="47">
                  <c:v>24353.656249999996</c:v>
                </c:pt>
                <c:pt idx="48">
                  <c:v>35303.53125</c:v>
                </c:pt>
                <c:pt idx="49">
                  <c:v>28192.65625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F-479F-B3B5-B8DF9BC9B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0934527"/>
        <c:axId val="480940287"/>
      </c:barChart>
      <c:catAx>
        <c:axId val="48093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940287"/>
        <c:crosses val="autoZero"/>
        <c:auto val="1"/>
        <c:lblAlgn val="ctr"/>
        <c:lblOffset val="100"/>
        <c:noMultiLvlLbl val="0"/>
      </c:catAx>
      <c:valAx>
        <c:axId val="48094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[Red]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93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Overtime Pay by Employee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OT Pay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Sheet1!$B$2:$B$51</c:f>
              <c:strCache>
                <c:ptCount val="50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Arjun</c:v>
                </c:pt>
                <c:pt idx="5">
                  <c:v>Neha</c:v>
                </c:pt>
                <c:pt idx="6">
                  <c:v>Karan</c:v>
                </c:pt>
                <c:pt idx="7">
                  <c:v>Pooja</c:v>
                </c:pt>
                <c:pt idx="8">
                  <c:v>Rohan</c:v>
                </c:pt>
                <c:pt idx="9">
                  <c:v>Anjali</c:v>
                </c:pt>
                <c:pt idx="10">
                  <c:v>Vivek</c:v>
                </c:pt>
                <c:pt idx="11">
                  <c:v>Meera</c:v>
                </c:pt>
                <c:pt idx="12">
                  <c:v>Akash</c:v>
                </c:pt>
                <c:pt idx="13">
                  <c:v>Divya</c:v>
                </c:pt>
                <c:pt idx="14">
                  <c:v>Suresh</c:v>
                </c:pt>
                <c:pt idx="15">
                  <c:v>Kavya</c:v>
                </c:pt>
                <c:pt idx="16">
                  <c:v>Nitin</c:v>
                </c:pt>
                <c:pt idx="17">
                  <c:v>Aisha</c:v>
                </c:pt>
                <c:pt idx="18">
                  <c:v>Mohan</c:v>
                </c:pt>
                <c:pt idx="19">
                  <c:v>Rekha</c:v>
                </c:pt>
                <c:pt idx="20">
                  <c:v>Deepak</c:v>
                </c:pt>
                <c:pt idx="21">
                  <c:v>Shreya</c:v>
                </c:pt>
                <c:pt idx="22">
                  <c:v>Manish</c:v>
                </c:pt>
                <c:pt idx="23">
                  <c:v>Nisha</c:v>
                </c:pt>
                <c:pt idx="24">
                  <c:v>Abhishek</c:v>
                </c:pt>
                <c:pt idx="25">
                  <c:v>Ritu</c:v>
                </c:pt>
                <c:pt idx="26">
                  <c:v>Sameer</c:v>
                </c:pt>
                <c:pt idx="27">
                  <c:v>Isha</c:v>
                </c:pt>
                <c:pt idx="28">
                  <c:v>Harish</c:v>
                </c:pt>
                <c:pt idx="29">
                  <c:v>Komal</c:v>
                </c:pt>
                <c:pt idx="30">
                  <c:v>Varun</c:v>
                </c:pt>
                <c:pt idx="31">
                  <c:v>Tanya</c:v>
                </c:pt>
                <c:pt idx="32">
                  <c:v>Gaurav</c:v>
                </c:pt>
                <c:pt idx="33">
                  <c:v>Priti</c:v>
                </c:pt>
                <c:pt idx="34">
                  <c:v>Aditya</c:v>
                </c:pt>
                <c:pt idx="35">
                  <c:v>Simran</c:v>
                </c:pt>
                <c:pt idx="36">
                  <c:v>Rohit</c:v>
                </c:pt>
                <c:pt idx="37">
                  <c:v>Sakshi</c:v>
                </c:pt>
                <c:pt idx="38">
                  <c:v>Naveen</c:v>
                </c:pt>
                <c:pt idx="39">
                  <c:v>Bhavna</c:v>
                </c:pt>
                <c:pt idx="40">
                  <c:v>Ajay</c:v>
                </c:pt>
                <c:pt idx="41">
                  <c:v>Payal</c:v>
                </c:pt>
                <c:pt idx="42">
                  <c:v>Vikas</c:v>
                </c:pt>
                <c:pt idx="43">
                  <c:v>Riya</c:v>
                </c:pt>
                <c:pt idx="44">
                  <c:v>Sanjay</c:v>
                </c:pt>
                <c:pt idx="45">
                  <c:v>Anu</c:v>
                </c:pt>
                <c:pt idx="46">
                  <c:v>Tarun</c:v>
                </c:pt>
                <c:pt idx="47">
                  <c:v>Muskan</c:v>
                </c:pt>
                <c:pt idx="48">
                  <c:v>Rajesh</c:v>
                </c:pt>
                <c:pt idx="49">
                  <c:v>Sheetal</c:v>
                </c:pt>
              </c:strCache>
            </c:strRef>
          </c:cat>
          <c:val>
            <c:numRef>
              <c:f>Sheet1!$J$2:$J$51</c:f>
              <c:numCache>
                <c:formatCode>"₹"\ #,##0.00;[Red]"₹"\ #,##0.00</c:formatCode>
                <c:ptCount val="50"/>
                <c:pt idx="0">
                  <c:v>1250</c:v>
                </c:pt>
                <c:pt idx="1">
                  <c:v>520.83333333333337</c:v>
                </c:pt>
                <c:pt idx="2">
                  <c:v>933.33333333333337</c:v>
                </c:pt>
                <c:pt idx="3">
                  <c:v>1600</c:v>
                </c:pt>
                <c:pt idx="4">
                  <c:v>2187.5</c:v>
                </c:pt>
                <c:pt idx="5">
                  <c:v>675</c:v>
                </c:pt>
                <c:pt idx="6">
                  <c:v>3333.333333333333</c:v>
                </c:pt>
                <c:pt idx="7">
                  <c:v>845.83333333333326</c:v>
                </c:pt>
                <c:pt idx="8">
                  <c:v>1162.5</c:v>
                </c:pt>
                <c:pt idx="9">
                  <c:v>433.33333333333331</c:v>
                </c:pt>
                <c:pt idx="10">
                  <c:v>2850</c:v>
                </c:pt>
                <c:pt idx="11">
                  <c:v>1375</c:v>
                </c:pt>
                <c:pt idx="12">
                  <c:v>2100</c:v>
                </c:pt>
                <c:pt idx="13">
                  <c:v>300</c:v>
                </c:pt>
                <c:pt idx="14">
                  <c:v>4125</c:v>
                </c:pt>
                <c:pt idx="15">
                  <c:v>700</c:v>
                </c:pt>
                <c:pt idx="16">
                  <c:v>1558.3333333333333</c:v>
                </c:pt>
                <c:pt idx="17">
                  <c:v>1000</c:v>
                </c:pt>
                <c:pt idx="18">
                  <c:v>2466.6666666666665</c:v>
                </c:pt>
                <c:pt idx="19">
                  <c:v>541.66666666666663</c:v>
                </c:pt>
                <c:pt idx="20">
                  <c:v>3325</c:v>
                </c:pt>
                <c:pt idx="21">
                  <c:v>1162.5</c:v>
                </c:pt>
                <c:pt idx="22">
                  <c:v>845.83333333333326</c:v>
                </c:pt>
                <c:pt idx="23">
                  <c:v>1895.8333333333335</c:v>
                </c:pt>
                <c:pt idx="24">
                  <c:v>2762.5</c:v>
                </c:pt>
                <c:pt idx="25">
                  <c:v>450</c:v>
                </c:pt>
                <c:pt idx="26">
                  <c:v>3762.5</c:v>
                </c:pt>
                <c:pt idx="27">
                  <c:v>1000</c:v>
                </c:pt>
                <c:pt idx="28">
                  <c:v>1333.3333333333335</c:v>
                </c:pt>
                <c:pt idx="29">
                  <c:v>520.83333333333337</c:v>
                </c:pt>
                <c:pt idx="30">
                  <c:v>3075</c:v>
                </c:pt>
                <c:pt idx="31">
                  <c:v>1558.3333333333333</c:v>
                </c:pt>
                <c:pt idx="32">
                  <c:v>2250</c:v>
                </c:pt>
                <c:pt idx="33">
                  <c:v>700</c:v>
                </c:pt>
                <c:pt idx="34">
                  <c:v>4700</c:v>
                </c:pt>
                <c:pt idx="35">
                  <c:v>1162.5</c:v>
                </c:pt>
                <c:pt idx="36">
                  <c:v>2533.3333333333335</c:v>
                </c:pt>
                <c:pt idx="37">
                  <c:v>433.33333333333331</c:v>
                </c:pt>
                <c:pt idx="38">
                  <c:v>3666.666666666667</c:v>
                </c:pt>
                <c:pt idx="39">
                  <c:v>875</c:v>
                </c:pt>
                <c:pt idx="40">
                  <c:v>1750</c:v>
                </c:pt>
                <c:pt idx="41">
                  <c:v>562.5</c:v>
                </c:pt>
                <c:pt idx="42">
                  <c:v>3166.6666666666665</c:v>
                </c:pt>
                <c:pt idx="43">
                  <c:v>1333.3333333333335</c:v>
                </c:pt>
                <c:pt idx="44">
                  <c:v>2158.333333333333</c:v>
                </c:pt>
                <c:pt idx="45">
                  <c:v>312.5</c:v>
                </c:pt>
                <c:pt idx="46">
                  <c:v>4408.333333333333</c:v>
                </c:pt>
                <c:pt idx="47">
                  <c:v>845.83333333333326</c:v>
                </c:pt>
                <c:pt idx="48">
                  <c:v>2762.5</c:v>
                </c:pt>
                <c:pt idx="49">
                  <c:v>1512.5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7-4AC1-8774-4E890F108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0912927"/>
        <c:axId val="480909087"/>
        <c:axId val="0"/>
      </c:bar3DChart>
      <c:catAx>
        <c:axId val="48091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909087"/>
        <c:crosses val="autoZero"/>
        <c:auto val="1"/>
        <c:lblAlgn val="ctr"/>
        <c:lblOffset val="100"/>
        <c:noMultiLvlLbl val="0"/>
      </c:catAx>
      <c:valAx>
        <c:axId val="48090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[Red]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91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Gross Salary vs Net Salary Comparison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Gross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Sheet1!$B$2:$B$51</c:f>
              <c:strCache>
                <c:ptCount val="50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Arjun</c:v>
                </c:pt>
                <c:pt idx="5">
                  <c:v>Neha</c:v>
                </c:pt>
                <c:pt idx="6">
                  <c:v>Karan</c:v>
                </c:pt>
                <c:pt idx="7">
                  <c:v>Pooja</c:v>
                </c:pt>
                <c:pt idx="8">
                  <c:v>Rohan</c:v>
                </c:pt>
                <c:pt idx="9">
                  <c:v>Anjali</c:v>
                </c:pt>
                <c:pt idx="10">
                  <c:v>Vivek</c:v>
                </c:pt>
                <c:pt idx="11">
                  <c:v>Meera</c:v>
                </c:pt>
                <c:pt idx="12">
                  <c:v>Akash</c:v>
                </c:pt>
                <c:pt idx="13">
                  <c:v>Divya</c:v>
                </c:pt>
                <c:pt idx="14">
                  <c:v>Suresh</c:v>
                </c:pt>
                <c:pt idx="15">
                  <c:v>Kavya</c:v>
                </c:pt>
                <c:pt idx="16">
                  <c:v>Nitin</c:v>
                </c:pt>
                <c:pt idx="17">
                  <c:v>Aisha</c:v>
                </c:pt>
                <c:pt idx="18">
                  <c:v>Mohan</c:v>
                </c:pt>
                <c:pt idx="19">
                  <c:v>Rekha</c:v>
                </c:pt>
                <c:pt idx="20">
                  <c:v>Deepak</c:v>
                </c:pt>
                <c:pt idx="21">
                  <c:v>Shreya</c:v>
                </c:pt>
                <c:pt idx="22">
                  <c:v>Manish</c:v>
                </c:pt>
                <c:pt idx="23">
                  <c:v>Nisha</c:v>
                </c:pt>
                <c:pt idx="24">
                  <c:v>Abhishek</c:v>
                </c:pt>
                <c:pt idx="25">
                  <c:v>Ritu</c:v>
                </c:pt>
                <c:pt idx="26">
                  <c:v>Sameer</c:v>
                </c:pt>
                <c:pt idx="27">
                  <c:v>Isha</c:v>
                </c:pt>
                <c:pt idx="28">
                  <c:v>Harish</c:v>
                </c:pt>
                <c:pt idx="29">
                  <c:v>Komal</c:v>
                </c:pt>
                <c:pt idx="30">
                  <c:v>Varun</c:v>
                </c:pt>
                <c:pt idx="31">
                  <c:v>Tanya</c:v>
                </c:pt>
                <c:pt idx="32">
                  <c:v>Gaurav</c:v>
                </c:pt>
                <c:pt idx="33">
                  <c:v>Priti</c:v>
                </c:pt>
                <c:pt idx="34">
                  <c:v>Aditya</c:v>
                </c:pt>
                <c:pt idx="35">
                  <c:v>Simran</c:v>
                </c:pt>
                <c:pt idx="36">
                  <c:v>Rohit</c:v>
                </c:pt>
                <c:pt idx="37">
                  <c:v>Sakshi</c:v>
                </c:pt>
                <c:pt idx="38">
                  <c:v>Naveen</c:v>
                </c:pt>
                <c:pt idx="39">
                  <c:v>Bhavna</c:v>
                </c:pt>
                <c:pt idx="40">
                  <c:v>Ajay</c:v>
                </c:pt>
                <c:pt idx="41">
                  <c:v>Payal</c:v>
                </c:pt>
                <c:pt idx="42">
                  <c:v>Vikas</c:v>
                </c:pt>
                <c:pt idx="43">
                  <c:v>Riya</c:v>
                </c:pt>
                <c:pt idx="44">
                  <c:v>Sanjay</c:v>
                </c:pt>
                <c:pt idx="45">
                  <c:v>Anu</c:v>
                </c:pt>
                <c:pt idx="46">
                  <c:v>Tarun</c:v>
                </c:pt>
                <c:pt idx="47">
                  <c:v>Muskan</c:v>
                </c:pt>
                <c:pt idx="48">
                  <c:v>Rajesh</c:v>
                </c:pt>
                <c:pt idx="49">
                  <c:v>Sheetal</c:v>
                </c:pt>
              </c:strCache>
            </c:strRef>
          </c:cat>
          <c:val>
            <c:numRef>
              <c:f>Sheet1!$K$2:$K$51</c:f>
              <c:numCache>
                <c:formatCode>"₹"\ #,##0.00;[Red]"₹"\ #,##0.00</c:formatCode>
                <c:ptCount val="50"/>
                <c:pt idx="0">
                  <c:v>29250</c:v>
                </c:pt>
                <c:pt idx="1">
                  <c:v>25520.833333333332</c:v>
                </c:pt>
                <c:pt idx="2">
                  <c:v>26133.333333333332</c:v>
                </c:pt>
                <c:pt idx="3">
                  <c:v>32533.333333333336</c:v>
                </c:pt>
                <c:pt idx="4">
                  <c:v>37187.5</c:v>
                </c:pt>
                <c:pt idx="5">
                  <c:v>24075</c:v>
                </c:pt>
                <c:pt idx="6">
                  <c:v>43333.333333333336</c:v>
                </c:pt>
                <c:pt idx="7">
                  <c:v>27912.499999999996</c:v>
                </c:pt>
                <c:pt idx="8">
                  <c:v>31129.166666666664</c:v>
                </c:pt>
                <c:pt idx="9">
                  <c:v>23833.333333333332</c:v>
                </c:pt>
                <c:pt idx="10">
                  <c:v>40850</c:v>
                </c:pt>
                <c:pt idx="11">
                  <c:v>32175</c:v>
                </c:pt>
                <c:pt idx="12">
                  <c:v>36900</c:v>
                </c:pt>
                <c:pt idx="13">
                  <c:v>20300</c:v>
                </c:pt>
                <c:pt idx="14">
                  <c:v>49125</c:v>
                </c:pt>
                <c:pt idx="15">
                  <c:v>25900</c:v>
                </c:pt>
                <c:pt idx="16">
                  <c:v>34425</c:v>
                </c:pt>
                <c:pt idx="17">
                  <c:v>29000</c:v>
                </c:pt>
                <c:pt idx="18">
                  <c:v>39466.666666666664</c:v>
                </c:pt>
                <c:pt idx="19">
                  <c:v>23075</c:v>
                </c:pt>
                <c:pt idx="20">
                  <c:v>45325</c:v>
                </c:pt>
                <c:pt idx="21">
                  <c:v>31129.166666666664</c:v>
                </c:pt>
                <c:pt idx="22">
                  <c:v>26945.833333333332</c:v>
                </c:pt>
                <c:pt idx="23">
                  <c:v>36895.833333333336</c:v>
                </c:pt>
                <c:pt idx="24">
                  <c:v>40462.5</c:v>
                </c:pt>
                <c:pt idx="25">
                  <c:v>23850</c:v>
                </c:pt>
                <c:pt idx="26">
                  <c:v>46762.5</c:v>
                </c:pt>
                <c:pt idx="27">
                  <c:v>29000</c:v>
                </c:pt>
                <c:pt idx="28">
                  <c:v>32266.666666666668</c:v>
                </c:pt>
                <c:pt idx="29">
                  <c:v>23020.833333333332</c:v>
                </c:pt>
                <c:pt idx="30">
                  <c:v>44075</c:v>
                </c:pt>
                <c:pt idx="31">
                  <c:v>33291.666666666664</c:v>
                </c:pt>
                <c:pt idx="32">
                  <c:v>37050</c:v>
                </c:pt>
                <c:pt idx="33">
                  <c:v>25900</c:v>
                </c:pt>
                <c:pt idx="34">
                  <c:v>51700</c:v>
                </c:pt>
                <c:pt idx="35">
                  <c:v>30095.833333333332</c:v>
                </c:pt>
                <c:pt idx="36">
                  <c:v>39266.666666666672</c:v>
                </c:pt>
                <c:pt idx="37">
                  <c:v>22966.666666666664</c:v>
                </c:pt>
                <c:pt idx="38">
                  <c:v>47666.666666666664</c:v>
                </c:pt>
                <c:pt idx="39">
                  <c:v>28875</c:v>
                </c:pt>
                <c:pt idx="40">
                  <c:v>35583.333333333336</c:v>
                </c:pt>
                <c:pt idx="41">
                  <c:v>24862.5</c:v>
                </c:pt>
                <c:pt idx="42">
                  <c:v>43166.666666666664</c:v>
                </c:pt>
                <c:pt idx="43">
                  <c:v>31200</c:v>
                </c:pt>
                <c:pt idx="44">
                  <c:v>37925</c:v>
                </c:pt>
                <c:pt idx="45">
                  <c:v>21979.166666666668</c:v>
                </c:pt>
                <c:pt idx="46">
                  <c:v>50408.333333333336</c:v>
                </c:pt>
                <c:pt idx="47">
                  <c:v>27912.499999999996</c:v>
                </c:pt>
                <c:pt idx="48">
                  <c:v>40462.5</c:v>
                </c:pt>
                <c:pt idx="49">
                  <c:v>32312.5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A-4515-90AD-3A60F3FDD1CD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Net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Sheet1!$B$2:$B$51</c:f>
              <c:strCache>
                <c:ptCount val="50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Arjun</c:v>
                </c:pt>
                <c:pt idx="5">
                  <c:v>Neha</c:v>
                </c:pt>
                <c:pt idx="6">
                  <c:v>Karan</c:v>
                </c:pt>
                <c:pt idx="7">
                  <c:v>Pooja</c:v>
                </c:pt>
                <c:pt idx="8">
                  <c:v>Rohan</c:v>
                </c:pt>
                <c:pt idx="9">
                  <c:v>Anjali</c:v>
                </c:pt>
                <c:pt idx="10">
                  <c:v>Vivek</c:v>
                </c:pt>
                <c:pt idx="11">
                  <c:v>Meera</c:v>
                </c:pt>
                <c:pt idx="12">
                  <c:v>Akash</c:v>
                </c:pt>
                <c:pt idx="13">
                  <c:v>Divya</c:v>
                </c:pt>
                <c:pt idx="14">
                  <c:v>Suresh</c:v>
                </c:pt>
                <c:pt idx="15">
                  <c:v>Kavya</c:v>
                </c:pt>
                <c:pt idx="16">
                  <c:v>Nitin</c:v>
                </c:pt>
                <c:pt idx="17">
                  <c:v>Aisha</c:v>
                </c:pt>
                <c:pt idx="18">
                  <c:v>Mohan</c:v>
                </c:pt>
                <c:pt idx="19">
                  <c:v>Rekha</c:v>
                </c:pt>
                <c:pt idx="20">
                  <c:v>Deepak</c:v>
                </c:pt>
                <c:pt idx="21">
                  <c:v>Shreya</c:v>
                </c:pt>
                <c:pt idx="22">
                  <c:v>Manish</c:v>
                </c:pt>
                <c:pt idx="23">
                  <c:v>Nisha</c:v>
                </c:pt>
                <c:pt idx="24">
                  <c:v>Abhishek</c:v>
                </c:pt>
                <c:pt idx="25">
                  <c:v>Ritu</c:v>
                </c:pt>
                <c:pt idx="26">
                  <c:v>Sameer</c:v>
                </c:pt>
                <c:pt idx="27">
                  <c:v>Isha</c:v>
                </c:pt>
                <c:pt idx="28">
                  <c:v>Harish</c:v>
                </c:pt>
                <c:pt idx="29">
                  <c:v>Komal</c:v>
                </c:pt>
                <c:pt idx="30">
                  <c:v>Varun</c:v>
                </c:pt>
                <c:pt idx="31">
                  <c:v>Tanya</c:v>
                </c:pt>
                <c:pt idx="32">
                  <c:v>Gaurav</c:v>
                </c:pt>
                <c:pt idx="33">
                  <c:v>Priti</c:v>
                </c:pt>
                <c:pt idx="34">
                  <c:v>Aditya</c:v>
                </c:pt>
                <c:pt idx="35">
                  <c:v>Simran</c:v>
                </c:pt>
                <c:pt idx="36">
                  <c:v>Rohit</c:v>
                </c:pt>
                <c:pt idx="37">
                  <c:v>Sakshi</c:v>
                </c:pt>
                <c:pt idx="38">
                  <c:v>Naveen</c:v>
                </c:pt>
                <c:pt idx="39">
                  <c:v>Bhavna</c:v>
                </c:pt>
                <c:pt idx="40">
                  <c:v>Ajay</c:v>
                </c:pt>
                <c:pt idx="41">
                  <c:v>Payal</c:v>
                </c:pt>
                <c:pt idx="42">
                  <c:v>Vikas</c:v>
                </c:pt>
                <c:pt idx="43">
                  <c:v>Riya</c:v>
                </c:pt>
                <c:pt idx="44">
                  <c:v>Sanjay</c:v>
                </c:pt>
                <c:pt idx="45">
                  <c:v>Anu</c:v>
                </c:pt>
                <c:pt idx="46">
                  <c:v>Tarun</c:v>
                </c:pt>
                <c:pt idx="47">
                  <c:v>Muskan</c:v>
                </c:pt>
                <c:pt idx="48">
                  <c:v>Rajesh</c:v>
                </c:pt>
                <c:pt idx="49">
                  <c:v>Sheetal</c:v>
                </c:pt>
              </c:strCache>
            </c:strRef>
          </c:cat>
          <c:val>
            <c:numRef>
              <c:f>Sheet1!$O$2:$O$51</c:f>
              <c:numCache>
                <c:formatCode>"₹"\ #,##0.00;[Red]"₹"\ #,##0.00</c:formatCode>
                <c:ptCount val="50"/>
                <c:pt idx="0">
                  <c:v>25520.625</c:v>
                </c:pt>
                <c:pt idx="1">
                  <c:v>22266.927083333332</c:v>
                </c:pt>
                <c:pt idx="2">
                  <c:v>22801.333333333332</c:v>
                </c:pt>
                <c:pt idx="3">
                  <c:v>28385.333333333336</c:v>
                </c:pt>
                <c:pt idx="4">
                  <c:v>32446.09375</c:v>
                </c:pt>
                <c:pt idx="5">
                  <c:v>21005.4375</c:v>
                </c:pt>
                <c:pt idx="6">
                  <c:v>37808.333333333336</c:v>
                </c:pt>
                <c:pt idx="7">
                  <c:v>24353.656249999996</c:v>
                </c:pt>
                <c:pt idx="8">
                  <c:v>27160.197916666664</c:v>
                </c:pt>
                <c:pt idx="9">
                  <c:v>20794.583333333332</c:v>
                </c:pt>
                <c:pt idx="10">
                  <c:v>35641.625</c:v>
                </c:pt>
                <c:pt idx="11">
                  <c:v>28072.6875</c:v>
                </c:pt>
                <c:pt idx="12">
                  <c:v>32195.25</c:v>
                </c:pt>
                <c:pt idx="13">
                  <c:v>17711.75</c:v>
                </c:pt>
                <c:pt idx="14">
                  <c:v>42861.5625</c:v>
                </c:pt>
                <c:pt idx="15">
                  <c:v>22597.75</c:v>
                </c:pt>
                <c:pt idx="16">
                  <c:v>30035.8125</c:v>
                </c:pt>
                <c:pt idx="17">
                  <c:v>25302.5</c:v>
                </c:pt>
                <c:pt idx="18">
                  <c:v>34434.666666666664</c:v>
                </c:pt>
                <c:pt idx="19">
                  <c:v>20132.9375</c:v>
                </c:pt>
                <c:pt idx="20">
                  <c:v>39546.0625</c:v>
                </c:pt>
                <c:pt idx="21">
                  <c:v>27160.197916666664</c:v>
                </c:pt>
                <c:pt idx="22">
                  <c:v>23510.239583333332</c:v>
                </c:pt>
                <c:pt idx="23">
                  <c:v>32191.614583333336</c:v>
                </c:pt>
                <c:pt idx="24">
                  <c:v>35303.53125</c:v>
                </c:pt>
                <c:pt idx="25">
                  <c:v>20809.125</c:v>
                </c:pt>
                <c:pt idx="26">
                  <c:v>40800.28125</c:v>
                </c:pt>
                <c:pt idx="27">
                  <c:v>25302.5</c:v>
                </c:pt>
                <c:pt idx="28">
                  <c:v>28152.666666666668</c:v>
                </c:pt>
                <c:pt idx="29">
                  <c:v>20085.677083333332</c:v>
                </c:pt>
                <c:pt idx="30">
                  <c:v>38455.4375</c:v>
                </c:pt>
                <c:pt idx="31">
                  <c:v>29046.979166666664</c:v>
                </c:pt>
                <c:pt idx="32">
                  <c:v>32326.125</c:v>
                </c:pt>
                <c:pt idx="33">
                  <c:v>22597.75</c:v>
                </c:pt>
                <c:pt idx="34">
                  <c:v>45108.25</c:v>
                </c:pt>
                <c:pt idx="35">
                  <c:v>26258.614583333332</c:v>
                </c:pt>
                <c:pt idx="36">
                  <c:v>34260.166666666672</c:v>
                </c:pt>
                <c:pt idx="37">
                  <c:v>20038.416666666664</c:v>
                </c:pt>
                <c:pt idx="38">
                  <c:v>41589.166666666664</c:v>
                </c:pt>
                <c:pt idx="39">
                  <c:v>25193.4375</c:v>
                </c:pt>
                <c:pt idx="40">
                  <c:v>31046.458333333336</c:v>
                </c:pt>
                <c:pt idx="41">
                  <c:v>21692.53125</c:v>
                </c:pt>
                <c:pt idx="42">
                  <c:v>37662.916666666664</c:v>
                </c:pt>
                <c:pt idx="43">
                  <c:v>27222</c:v>
                </c:pt>
                <c:pt idx="44">
                  <c:v>33089.5625</c:v>
                </c:pt>
                <c:pt idx="45">
                  <c:v>19176.822916666668</c:v>
                </c:pt>
                <c:pt idx="46">
                  <c:v>43981.270833333336</c:v>
                </c:pt>
                <c:pt idx="47">
                  <c:v>24353.656249999996</c:v>
                </c:pt>
                <c:pt idx="48">
                  <c:v>35303.53125</c:v>
                </c:pt>
                <c:pt idx="49">
                  <c:v>28192.65625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A-4515-90AD-3A60F3FDD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0917727"/>
        <c:axId val="480918207"/>
        <c:axId val="0"/>
      </c:bar3DChart>
      <c:catAx>
        <c:axId val="48091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918207"/>
        <c:crosses val="autoZero"/>
        <c:auto val="1"/>
        <c:lblAlgn val="ctr"/>
        <c:lblOffset val="100"/>
        <c:noMultiLvlLbl val="0"/>
      </c:catAx>
      <c:valAx>
        <c:axId val="48091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[Red]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91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161509</xdr:colOff>
      <xdr:row>2</xdr:row>
      <xdr:rowOff>57978</xdr:rowOff>
    </xdr:from>
    <xdr:to>
      <xdr:col>22</xdr:col>
      <xdr:colOff>22776</xdr:colOff>
      <xdr:row>16</xdr:row>
      <xdr:rowOff>104361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403A15-034B-BD91-A09A-BA6137AC9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180146</xdr:colOff>
      <xdr:row>17</xdr:row>
      <xdr:rowOff>70402</xdr:rowOff>
    </xdr:from>
    <xdr:to>
      <xdr:col>22</xdr:col>
      <xdr:colOff>0</xdr:colOff>
      <xdr:row>30</xdr:row>
      <xdr:rowOff>162338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8D3C5F-43E7-9E19-34F1-66EEFF633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231878</xdr:colOff>
      <xdr:row>33</xdr:row>
      <xdr:rowOff>33726</xdr:rowOff>
    </xdr:from>
    <xdr:to>
      <xdr:col>22</xdr:col>
      <xdr:colOff>267791</xdr:colOff>
      <xdr:row>50</xdr:row>
      <xdr:rowOff>162128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A50ADC-CC97-F059-F495-B380467CF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9518A6-2ECC-484A-91E0-5F98FA045358}" name="Table1" displayName="Table1" ref="A1:O51" totalsRowShown="0" headerRowDxfId="17">
  <autoFilter ref="A1:O51" xr:uid="{269518A6-2ECC-484A-91E0-5F98FA045358}"/>
  <tableColumns count="15">
    <tableColumn id="1" xr3:uid="{D69D076F-ED4B-4A54-A236-F4524AC0ED2C}" name="Emp ID" dataDxfId="16"/>
    <tableColumn id="2" xr3:uid="{8467AD06-102A-4347-A31F-1544BA6AC6BB}" name="Employee Name" dataDxfId="15"/>
    <tableColumn id="3" xr3:uid="{0A4DDB93-1125-417C-9C1D-92D1C0245747}" name="Basic Salary" dataDxfId="14"/>
    <tableColumn id="4" xr3:uid="{67E03796-CE59-45B7-908D-8FAAFE7D640C}" name="Working Days" dataDxfId="13"/>
    <tableColumn id="5" xr3:uid="{3922E106-8901-4226-A9D5-827E4644E7A0}" name="Present Days" dataDxfId="12"/>
    <tableColumn id="6" xr3:uid="{9AED415E-1677-48CB-B5BA-1290BB3C3FD7}" name="Overtime Hours" dataDxfId="11"/>
    <tableColumn id="7" xr3:uid="{7104CEAB-1252-41F1-9194-615A4A1EB9E8}" name="Daily Salary" dataDxfId="10">
      <calculatedColumnFormula>C2/D2</calculatedColumnFormula>
    </tableColumn>
    <tableColumn id="8" xr3:uid="{6B6EF8AA-A610-43F0-BDA9-EDEBBAE457CF}" name="Attendance Salary" dataDxfId="9">
      <calculatedColumnFormula>G2*E2</calculatedColumnFormula>
    </tableColumn>
    <tableColumn id="9" xr3:uid="{61AA10EA-452F-43B3-A27B-817EBFF20D38}" name="Hourly Rate" dataDxfId="8">
      <calculatedColumnFormula>C2/(D2*8)</calculatedColumnFormula>
    </tableColumn>
    <tableColumn id="10" xr3:uid="{3787AC62-6226-4657-A4B9-AEE275F2A7C9}" name="OT Pay" dataDxfId="7">
      <calculatedColumnFormula>I2*F2</calculatedColumnFormula>
    </tableColumn>
    <tableColumn id="11" xr3:uid="{62827B77-990D-4C20-9B55-18729FEEDEEC}" name="Gross Salary" dataDxfId="6">
      <calculatedColumnFormula>H2+J2</calculatedColumnFormula>
    </tableColumn>
    <tableColumn id="12" xr3:uid="{458A1D00-8CB7-4B33-8DD1-37076886BA2F}" name="PF" dataDxfId="5">
      <calculatedColumnFormula>K2*12%</calculatedColumnFormula>
    </tableColumn>
    <tableColumn id="13" xr3:uid="{9DECFDC6-B029-4E5C-A59E-66EA1BF0A198}" name="ESI" dataDxfId="4">
      <calculatedColumnFormula>K2*0.75%</calculatedColumnFormula>
    </tableColumn>
    <tableColumn id="14" xr3:uid="{3E760B45-E8AA-4D2D-9B9D-9E711975B556}" name="Total Deduction" dataDxfId="3">
      <calculatedColumnFormula>L2+M2</calculatedColumnFormula>
    </tableColumn>
    <tableColumn id="15" xr3:uid="{A283E51F-54B0-4360-9FB8-CF60082FDD22}" name="Net Salary" dataDxfId="2">
      <calculatedColumnFormula>K2-N2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CDEEA-B8CE-4CD3-9096-87E5CA4671CA}">
  <dimension ref="A1:AA64"/>
  <sheetViews>
    <sheetView tabSelected="1" zoomScale="51" zoomScaleNormal="115" workbookViewId="0">
      <selection activeCell="E55" sqref="E55"/>
    </sheetView>
  </sheetViews>
  <sheetFormatPr defaultRowHeight="14.25" x14ac:dyDescent="0.45"/>
  <cols>
    <col min="2" max="2" width="15.9296875" customWidth="1"/>
    <col min="3" max="3" width="12" style="5" customWidth="1"/>
    <col min="4" max="4" width="13.796875" customWidth="1"/>
    <col min="5" max="5" width="13.1328125" customWidth="1"/>
    <col min="6" max="6" width="15.53125" customWidth="1"/>
    <col min="7" max="7" width="11.9296875" style="5" customWidth="1"/>
    <col min="8" max="8" width="17.3984375" style="5" customWidth="1"/>
    <col min="9" max="9" width="12.1328125" style="5" customWidth="1"/>
    <col min="10" max="10" width="12.6640625" style="5" customWidth="1"/>
    <col min="11" max="11" width="17.59765625" style="5" customWidth="1"/>
    <col min="12" max="12" width="12.1328125" style="5" customWidth="1"/>
    <col min="13" max="13" width="10.6640625" style="5" customWidth="1"/>
    <col min="14" max="14" width="15.53125" style="5" customWidth="1"/>
    <col min="15" max="15" width="16.3984375" style="5" customWidth="1"/>
    <col min="26" max="26" width="16.59765625" customWidth="1"/>
    <col min="27" max="27" width="12.86328125" bestFit="1" customWidth="1"/>
  </cols>
  <sheetData>
    <row r="1" spans="1:27" x14ac:dyDescent="0.4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6" t="s">
        <v>106</v>
      </c>
      <c r="H1" s="6" t="s">
        <v>107</v>
      </c>
      <c r="I1" s="6" t="s">
        <v>108</v>
      </c>
      <c r="J1" s="6" t="s">
        <v>109</v>
      </c>
      <c r="K1" s="6" t="s">
        <v>110</v>
      </c>
      <c r="L1" s="6" t="s">
        <v>111</v>
      </c>
      <c r="M1" s="6" t="s">
        <v>112</v>
      </c>
      <c r="N1" s="6" t="s">
        <v>113</v>
      </c>
      <c r="O1" s="6" t="s">
        <v>114</v>
      </c>
    </row>
    <row r="2" spans="1:27" x14ac:dyDescent="0.45">
      <c r="A2" s="2" t="s">
        <v>6</v>
      </c>
      <c r="B2" s="2" t="s">
        <v>7</v>
      </c>
      <c r="C2" s="4">
        <v>30000</v>
      </c>
      <c r="D2" s="2">
        <v>30</v>
      </c>
      <c r="E2" s="2">
        <v>28</v>
      </c>
      <c r="F2" s="2">
        <v>10</v>
      </c>
      <c r="G2" s="5">
        <f>C2/D2</f>
        <v>1000</v>
      </c>
      <c r="H2" s="5">
        <f>G2*E2</f>
        <v>28000</v>
      </c>
      <c r="I2" s="5">
        <f>C2/(D2*8)</f>
        <v>125</v>
      </c>
      <c r="J2" s="5">
        <f>I2*F2</f>
        <v>1250</v>
      </c>
      <c r="K2" s="5">
        <f>H2+J2</f>
        <v>29250</v>
      </c>
      <c r="L2" s="5">
        <f>K2*12%</f>
        <v>3510</v>
      </c>
      <c r="M2" s="5">
        <f>K2*0.75%</f>
        <v>219.375</v>
      </c>
      <c r="N2" s="5">
        <f>L2+M2</f>
        <v>3729.375</v>
      </c>
      <c r="O2" s="5">
        <f>K2-N2</f>
        <v>25520.625</v>
      </c>
    </row>
    <row r="3" spans="1:27" x14ac:dyDescent="0.45">
      <c r="A3" s="2" t="s">
        <v>8</v>
      </c>
      <c r="B3" s="2" t="s">
        <v>9</v>
      </c>
      <c r="C3" s="4">
        <v>25000</v>
      </c>
      <c r="D3" s="2">
        <v>30</v>
      </c>
      <c r="E3" s="2">
        <v>30</v>
      </c>
      <c r="F3" s="2">
        <v>5</v>
      </c>
      <c r="G3" s="5">
        <f t="shared" ref="G3:G51" si="0">C3/D3</f>
        <v>833.33333333333337</v>
      </c>
      <c r="H3" s="5">
        <f t="shared" ref="H3:H51" si="1">G3*E3</f>
        <v>25000</v>
      </c>
      <c r="I3" s="5">
        <f t="shared" ref="I3:I51" si="2">C3/(D3*8)</f>
        <v>104.16666666666667</v>
      </c>
      <c r="J3" s="5">
        <f t="shared" ref="J3:J51" si="3">I3*F3</f>
        <v>520.83333333333337</v>
      </c>
      <c r="K3" s="5">
        <f t="shared" ref="K3:K51" si="4">H3+J3</f>
        <v>25520.833333333332</v>
      </c>
      <c r="L3" s="5">
        <f t="shared" ref="L3:L51" si="5">K3*12%</f>
        <v>3062.4999999999995</v>
      </c>
      <c r="M3" s="5">
        <f t="shared" ref="M3:M51" si="6">K3*0.75%</f>
        <v>191.40624999999997</v>
      </c>
      <c r="N3" s="5">
        <f t="shared" ref="N3:N51" si="7">L3+M3</f>
        <v>3253.9062499999995</v>
      </c>
      <c r="O3" s="5">
        <f t="shared" ref="O3:O51" si="8">K3-N3</f>
        <v>22266.927083333332</v>
      </c>
    </row>
    <row r="4" spans="1:27" x14ac:dyDescent="0.45">
      <c r="A4" s="2" t="s">
        <v>10</v>
      </c>
      <c r="B4" s="2" t="s">
        <v>11</v>
      </c>
      <c r="C4" s="4">
        <v>28000</v>
      </c>
      <c r="D4" s="2">
        <v>30</v>
      </c>
      <c r="E4" s="2">
        <v>27</v>
      </c>
      <c r="F4" s="2">
        <v>8</v>
      </c>
      <c r="G4" s="5">
        <f t="shared" si="0"/>
        <v>933.33333333333337</v>
      </c>
      <c r="H4" s="5">
        <f t="shared" si="1"/>
        <v>25200</v>
      </c>
      <c r="I4" s="5">
        <f t="shared" si="2"/>
        <v>116.66666666666667</v>
      </c>
      <c r="J4" s="5">
        <f t="shared" si="3"/>
        <v>933.33333333333337</v>
      </c>
      <c r="K4" s="5">
        <f t="shared" si="4"/>
        <v>26133.333333333332</v>
      </c>
      <c r="L4" s="5">
        <f t="shared" si="5"/>
        <v>3135.9999999999995</v>
      </c>
      <c r="M4" s="5">
        <f t="shared" si="6"/>
        <v>195.99999999999997</v>
      </c>
      <c r="N4" s="5">
        <f t="shared" si="7"/>
        <v>3331.9999999999995</v>
      </c>
      <c r="O4" s="5">
        <f t="shared" si="8"/>
        <v>22801.333333333332</v>
      </c>
    </row>
    <row r="5" spans="1:27" x14ac:dyDescent="0.45">
      <c r="A5" s="2" t="s">
        <v>12</v>
      </c>
      <c r="B5" s="2" t="s">
        <v>13</v>
      </c>
      <c r="C5" s="4">
        <v>32000</v>
      </c>
      <c r="D5" s="2">
        <v>30</v>
      </c>
      <c r="E5" s="2">
        <v>29</v>
      </c>
      <c r="F5" s="2">
        <v>12</v>
      </c>
      <c r="G5" s="5">
        <f t="shared" si="0"/>
        <v>1066.6666666666667</v>
      </c>
      <c r="H5" s="5">
        <f t="shared" si="1"/>
        <v>30933.333333333336</v>
      </c>
      <c r="I5" s="5">
        <f t="shared" si="2"/>
        <v>133.33333333333334</v>
      </c>
      <c r="J5" s="5">
        <f t="shared" si="3"/>
        <v>1600</v>
      </c>
      <c r="K5" s="5">
        <f t="shared" si="4"/>
        <v>32533.333333333336</v>
      </c>
      <c r="L5" s="5">
        <f t="shared" si="5"/>
        <v>3904</v>
      </c>
      <c r="M5" s="5">
        <f t="shared" si="6"/>
        <v>244</v>
      </c>
      <c r="N5" s="5">
        <f t="shared" si="7"/>
        <v>4148</v>
      </c>
      <c r="O5" s="5">
        <f t="shared" si="8"/>
        <v>28385.333333333336</v>
      </c>
      <c r="Z5" s="8" t="s">
        <v>115</v>
      </c>
      <c r="AA5" s="8">
        <f>COUNTA(B2:B51)</f>
        <v>50</v>
      </c>
    </row>
    <row r="6" spans="1:27" x14ac:dyDescent="0.45">
      <c r="A6" s="2" t="s">
        <v>14</v>
      </c>
      <c r="B6" s="2" t="s">
        <v>15</v>
      </c>
      <c r="C6" s="4">
        <v>35000</v>
      </c>
      <c r="D6" s="2">
        <v>30</v>
      </c>
      <c r="E6" s="2">
        <v>30</v>
      </c>
      <c r="F6" s="2">
        <v>15</v>
      </c>
      <c r="G6" s="5">
        <f t="shared" si="0"/>
        <v>1166.6666666666667</v>
      </c>
      <c r="H6" s="5">
        <f t="shared" si="1"/>
        <v>35000</v>
      </c>
      <c r="I6" s="5">
        <f t="shared" si="2"/>
        <v>145.83333333333334</v>
      </c>
      <c r="J6" s="5">
        <f t="shared" si="3"/>
        <v>2187.5</v>
      </c>
      <c r="K6" s="5">
        <f t="shared" si="4"/>
        <v>37187.5</v>
      </c>
      <c r="L6" s="5">
        <f t="shared" si="5"/>
        <v>4462.5</v>
      </c>
      <c r="M6" s="5">
        <f t="shared" si="6"/>
        <v>278.90625</v>
      </c>
      <c r="N6" s="5">
        <f t="shared" si="7"/>
        <v>4741.40625</v>
      </c>
      <c r="O6" s="5">
        <f t="shared" si="8"/>
        <v>32446.09375</v>
      </c>
    </row>
    <row r="7" spans="1:27" x14ac:dyDescent="0.45">
      <c r="A7" s="2" t="s">
        <v>16</v>
      </c>
      <c r="B7" s="2" t="s">
        <v>17</v>
      </c>
      <c r="C7" s="4">
        <v>27000</v>
      </c>
      <c r="D7" s="2">
        <v>30</v>
      </c>
      <c r="E7" s="2">
        <v>26</v>
      </c>
      <c r="F7" s="2">
        <v>6</v>
      </c>
      <c r="G7" s="5">
        <f t="shared" si="0"/>
        <v>900</v>
      </c>
      <c r="H7" s="5">
        <f t="shared" si="1"/>
        <v>23400</v>
      </c>
      <c r="I7" s="5">
        <f t="shared" si="2"/>
        <v>112.5</v>
      </c>
      <c r="J7" s="5">
        <f t="shared" si="3"/>
        <v>675</v>
      </c>
      <c r="K7" s="5">
        <f t="shared" si="4"/>
        <v>24075</v>
      </c>
      <c r="L7" s="5">
        <f t="shared" si="5"/>
        <v>2889</v>
      </c>
      <c r="M7" s="5">
        <f t="shared" si="6"/>
        <v>180.5625</v>
      </c>
      <c r="N7" s="5">
        <f t="shared" si="7"/>
        <v>3069.5625</v>
      </c>
      <c r="O7" s="5">
        <f t="shared" si="8"/>
        <v>21005.4375</v>
      </c>
    </row>
    <row r="8" spans="1:27" x14ac:dyDescent="0.45">
      <c r="A8" s="2" t="s">
        <v>18</v>
      </c>
      <c r="B8" s="2" t="s">
        <v>19</v>
      </c>
      <c r="C8" s="4">
        <v>40000</v>
      </c>
      <c r="D8" s="2">
        <v>30</v>
      </c>
      <c r="E8" s="2">
        <v>30</v>
      </c>
      <c r="F8" s="2">
        <v>20</v>
      </c>
      <c r="G8" s="5">
        <f t="shared" si="0"/>
        <v>1333.3333333333333</v>
      </c>
      <c r="H8" s="5">
        <f t="shared" si="1"/>
        <v>40000</v>
      </c>
      <c r="I8" s="5">
        <f t="shared" si="2"/>
        <v>166.66666666666666</v>
      </c>
      <c r="J8" s="5">
        <f t="shared" si="3"/>
        <v>3333.333333333333</v>
      </c>
      <c r="K8" s="5">
        <f t="shared" si="4"/>
        <v>43333.333333333336</v>
      </c>
      <c r="L8" s="5">
        <f t="shared" si="5"/>
        <v>5200</v>
      </c>
      <c r="M8" s="5">
        <f t="shared" si="6"/>
        <v>325</v>
      </c>
      <c r="N8" s="5">
        <f t="shared" si="7"/>
        <v>5525</v>
      </c>
      <c r="O8" s="5">
        <f t="shared" si="8"/>
        <v>37808.333333333336</v>
      </c>
    </row>
    <row r="9" spans="1:27" x14ac:dyDescent="0.45">
      <c r="A9" s="2" t="s">
        <v>20</v>
      </c>
      <c r="B9" s="2" t="s">
        <v>21</v>
      </c>
      <c r="C9" s="4">
        <v>29000</v>
      </c>
      <c r="D9" s="2">
        <v>30</v>
      </c>
      <c r="E9" s="2">
        <v>28</v>
      </c>
      <c r="F9" s="2">
        <v>7</v>
      </c>
      <c r="G9" s="5">
        <f t="shared" si="0"/>
        <v>966.66666666666663</v>
      </c>
      <c r="H9" s="5">
        <f t="shared" si="1"/>
        <v>27066.666666666664</v>
      </c>
      <c r="I9" s="5">
        <f t="shared" si="2"/>
        <v>120.83333333333333</v>
      </c>
      <c r="J9" s="5">
        <f t="shared" si="3"/>
        <v>845.83333333333326</v>
      </c>
      <c r="K9" s="5">
        <f t="shared" si="4"/>
        <v>27912.499999999996</v>
      </c>
      <c r="L9" s="5">
        <f t="shared" si="5"/>
        <v>3349.4999999999995</v>
      </c>
      <c r="M9" s="5">
        <f t="shared" si="6"/>
        <v>209.34374999999997</v>
      </c>
      <c r="N9" s="5">
        <f t="shared" si="7"/>
        <v>3558.8437499999995</v>
      </c>
      <c r="O9" s="5">
        <f t="shared" si="8"/>
        <v>24353.656249999996</v>
      </c>
    </row>
    <row r="10" spans="1:27" x14ac:dyDescent="0.45">
      <c r="A10" s="2" t="s">
        <v>22</v>
      </c>
      <c r="B10" s="2" t="s">
        <v>23</v>
      </c>
      <c r="C10" s="4">
        <v>31000</v>
      </c>
      <c r="D10" s="2">
        <v>30</v>
      </c>
      <c r="E10" s="2">
        <v>29</v>
      </c>
      <c r="F10" s="2">
        <v>9</v>
      </c>
      <c r="G10" s="5">
        <f t="shared" si="0"/>
        <v>1033.3333333333333</v>
      </c>
      <c r="H10" s="5">
        <f t="shared" si="1"/>
        <v>29966.666666666664</v>
      </c>
      <c r="I10" s="5">
        <f t="shared" si="2"/>
        <v>129.16666666666666</v>
      </c>
      <c r="J10" s="5">
        <f t="shared" si="3"/>
        <v>1162.5</v>
      </c>
      <c r="K10" s="5">
        <f t="shared" si="4"/>
        <v>31129.166666666664</v>
      </c>
      <c r="L10" s="5">
        <f t="shared" si="5"/>
        <v>3735.4999999999995</v>
      </c>
      <c r="M10" s="5">
        <f t="shared" si="6"/>
        <v>233.46874999999997</v>
      </c>
      <c r="N10" s="5">
        <f t="shared" si="7"/>
        <v>3968.9687499999995</v>
      </c>
      <c r="O10" s="5">
        <f t="shared" si="8"/>
        <v>27160.197916666664</v>
      </c>
      <c r="Z10" s="8" t="s">
        <v>116</v>
      </c>
      <c r="AA10" s="9">
        <f>SUM(K2:K51)</f>
        <v>1674483.3333333335</v>
      </c>
    </row>
    <row r="11" spans="1:27" x14ac:dyDescent="0.45">
      <c r="A11" s="2" t="s">
        <v>24</v>
      </c>
      <c r="B11" s="2" t="s">
        <v>25</v>
      </c>
      <c r="C11" s="4">
        <v>26000</v>
      </c>
      <c r="D11" s="2">
        <v>30</v>
      </c>
      <c r="E11" s="2">
        <v>27</v>
      </c>
      <c r="F11" s="2">
        <v>4</v>
      </c>
      <c r="G11" s="5">
        <f t="shared" si="0"/>
        <v>866.66666666666663</v>
      </c>
      <c r="H11" s="5">
        <f t="shared" si="1"/>
        <v>23400</v>
      </c>
      <c r="I11" s="5">
        <f t="shared" si="2"/>
        <v>108.33333333333333</v>
      </c>
      <c r="J11" s="5">
        <f t="shared" si="3"/>
        <v>433.33333333333331</v>
      </c>
      <c r="K11" s="5">
        <f t="shared" si="4"/>
        <v>23833.333333333332</v>
      </c>
      <c r="L11" s="5">
        <f t="shared" si="5"/>
        <v>2859.9999999999995</v>
      </c>
      <c r="M11" s="5">
        <f t="shared" si="6"/>
        <v>178.74999999999997</v>
      </c>
      <c r="N11" s="5">
        <f t="shared" si="7"/>
        <v>3038.7499999999995</v>
      </c>
      <c r="O11" s="5">
        <f t="shared" si="8"/>
        <v>20794.583333333332</v>
      </c>
    </row>
    <row r="12" spans="1:27" x14ac:dyDescent="0.45">
      <c r="A12" s="2" t="s">
        <v>26</v>
      </c>
      <c r="B12" s="2" t="s">
        <v>27</v>
      </c>
      <c r="C12" s="4">
        <v>38000</v>
      </c>
      <c r="D12" s="2">
        <v>30</v>
      </c>
      <c r="E12" s="2">
        <v>30</v>
      </c>
      <c r="F12" s="2">
        <v>18</v>
      </c>
      <c r="G12" s="5">
        <f t="shared" si="0"/>
        <v>1266.6666666666667</v>
      </c>
      <c r="H12" s="5">
        <f t="shared" si="1"/>
        <v>38000</v>
      </c>
      <c r="I12" s="5">
        <f t="shared" si="2"/>
        <v>158.33333333333334</v>
      </c>
      <c r="J12" s="5">
        <f t="shared" si="3"/>
        <v>2850</v>
      </c>
      <c r="K12" s="5">
        <f t="shared" si="4"/>
        <v>40850</v>
      </c>
      <c r="L12" s="5">
        <f t="shared" si="5"/>
        <v>4902</v>
      </c>
      <c r="M12" s="5">
        <f t="shared" si="6"/>
        <v>306.375</v>
      </c>
      <c r="N12" s="5">
        <f t="shared" si="7"/>
        <v>5208.375</v>
      </c>
      <c r="O12" s="5">
        <f t="shared" si="8"/>
        <v>35641.625</v>
      </c>
    </row>
    <row r="13" spans="1:27" x14ac:dyDescent="0.45">
      <c r="A13" s="2" t="s">
        <v>28</v>
      </c>
      <c r="B13" s="2" t="s">
        <v>29</v>
      </c>
      <c r="C13" s="4">
        <v>33000</v>
      </c>
      <c r="D13" s="2">
        <v>30</v>
      </c>
      <c r="E13" s="2">
        <v>28</v>
      </c>
      <c r="F13" s="2">
        <v>10</v>
      </c>
      <c r="G13" s="5">
        <f t="shared" si="0"/>
        <v>1100</v>
      </c>
      <c r="H13" s="5">
        <f t="shared" si="1"/>
        <v>30800</v>
      </c>
      <c r="I13" s="5">
        <f t="shared" si="2"/>
        <v>137.5</v>
      </c>
      <c r="J13" s="5">
        <f t="shared" si="3"/>
        <v>1375</v>
      </c>
      <c r="K13" s="5">
        <f t="shared" si="4"/>
        <v>32175</v>
      </c>
      <c r="L13" s="5">
        <f t="shared" si="5"/>
        <v>3861</v>
      </c>
      <c r="M13" s="5">
        <f t="shared" si="6"/>
        <v>241.3125</v>
      </c>
      <c r="N13" s="5">
        <f t="shared" si="7"/>
        <v>4102.3125</v>
      </c>
      <c r="O13" s="5">
        <f t="shared" si="8"/>
        <v>28072.6875</v>
      </c>
    </row>
    <row r="14" spans="1:27" x14ac:dyDescent="0.45">
      <c r="A14" s="2" t="s">
        <v>30</v>
      </c>
      <c r="B14" s="2" t="s">
        <v>31</v>
      </c>
      <c r="C14" s="4">
        <v>36000</v>
      </c>
      <c r="D14" s="2">
        <v>30</v>
      </c>
      <c r="E14" s="2">
        <v>29</v>
      </c>
      <c r="F14" s="2">
        <v>14</v>
      </c>
      <c r="G14" s="5">
        <f t="shared" si="0"/>
        <v>1200</v>
      </c>
      <c r="H14" s="5">
        <f t="shared" si="1"/>
        <v>34800</v>
      </c>
      <c r="I14" s="5">
        <f t="shared" si="2"/>
        <v>150</v>
      </c>
      <c r="J14" s="5">
        <f t="shared" si="3"/>
        <v>2100</v>
      </c>
      <c r="K14" s="5">
        <f t="shared" si="4"/>
        <v>36900</v>
      </c>
      <c r="L14" s="5">
        <f t="shared" si="5"/>
        <v>4428</v>
      </c>
      <c r="M14" s="5">
        <f t="shared" si="6"/>
        <v>276.75</v>
      </c>
      <c r="N14" s="5">
        <f t="shared" si="7"/>
        <v>4704.75</v>
      </c>
      <c r="O14" s="5">
        <f t="shared" si="8"/>
        <v>32195.25</v>
      </c>
    </row>
    <row r="15" spans="1:27" x14ac:dyDescent="0.45">
      <c r="A15" s="2" t="s">
        <v>32</v>
      </c>
      <c r="B15" s="2" t="s">
        <v>33</v>
      </c>
      <c r="C15" s="4">
        <v>24000</v>
      </c>
      <c r="D15" s="2">
        <v>30</v>
      </c>
      <c r="E15" s="2">
        <v>25</v>
      </c>
      <c r="F15" s="2">
        <v>3</v>
      </c>
      <c r="G15" s="5">
        <f t="shared" si="0"/>
        <v>800</v>
      </c>
      <c r="H15" s="5">
        <f t="shared" si="1"/>
        <v>20000</v>
      </c>
      <c r="I15" s="5">
        <f t="shared" si="2"/>
        <v>100</v>
      </c>
      <c r="J15" s="5">
        <f t="shared" si="3"/>
        <v>300</v>
      </c>
      <c r="K15" s="5">
        <f t="shared" si="4"/>
        <v>20300</v>
      </c>
      <c r="L15" s="5">
        <f t="shared" si="5"/>
        <v>2436</v>
      </c>
      <c r="M15" s="5">
        <f t="shared" si="6"/>
        <v>152.25</v>
      </c>
      <c r="N15" s="5">
        <f t="shared" si="7"/>
        <v>2588.25</v>
      </c>
      <c r="O15" s="5">
        <f t="shared" si="8"/>
        <v>17711.75</v>
      </c>
      <c r="Z15" s="8" t="s">
        <v>117</v>
      </c>
      <c r="AA15" s="9">
        <f>SUM(L2:L51)</f>
        <v>200938</v>
      </c>
    </row>
    <row r="16" spans="1:27" x14ac:dyDescent="0.45">
      <c r="A16" s="2" t="s">
        <v>34</v>
      </c>
      <c r="B16" s="2" t="s">
        <v>35</v>
      </c>
      <c r="C16" s="4">
        <v>45000</v>
      </c>
      <c r="D16" s="2">
        <v>30</v>
      </c>
      <c r="E16" s="2">
        <v>30</v>
      </c>
      <c r="F16" s="2">
        <v>22</v>
      </c>
      <c r="G16" s="5">
        <f t="shared" si="0"/>
        <v>1500</v>
      </c>
      <c r="H16" s="5">
        <f t="shared" si="1"/>
        <v>45000</v>
      </c>
      <c r="I16" s="5">
        <f t="shared" si="2"/>
        <v>187.5</v>
      </c>
      <c r="J16" s="5">
        <f t="shared" si="3"/>
        <v>4125</v>
      </c>
      <c r="K16" s="5">
        <f t="shared" si="4"/>
        <v>49125</v>
      </c>
      <c r="L16" s="5">
        <f t="shared" si="5"/>
        <v>5895</v>
      </c>
      <c r="M16" s="5">
        <f t="shared" si="6"/>
        <v>368.4375</v>
      </c>
      <c r="N16" s="5">
        <f t="shared" si="7"/>
        <v>6263.4375</v>
      </c>
      <c r="O16" s="5">
        <f t="shared" si="8"/>
        <v>42861.5625</v>
      </c>
    </row>
    <row r="17" spans="1:27" x14ac:dyDescent="0.45">
      <c r="A17" s="2" t="s">
        <v>36</v>
      </c>
      <c r="B17" s="2" t="s">
        <v>37</v>
      </c>
      <c r="C17" s="4">
        <v>28000</v>
      </c>
      <c r="D17" s="2">
        <v>30</v>
      </c>
      <c r="E17" s="2">
        <v>27</v>
      </c>
      <c r="F17" s="2">
        <v>6</v>
      </c>
      <c r="G17" s="5">
        <f t="shared" si="0"/>
        <v>933.33333333333337</v>
      </c>
      <c r="H17" s="5">
        <f t="shared" si="1"/>
        <v>25200</v>
      </c>
      <c r="I17" s="5">
        <f t="shared" si="2"/>
        <v>116.66666666666667</v>
      </c>
      <c r="J17" s="5">
        <f t="shared" si="3"/>
        <v>700</v>
      </c>
      <c r="K17" s="5">
        <f t="shared" si="4"/>
        <v>25900</v>
      </c>
      <c r="L17" s="5">
        <f t="shared" si="5"/>
        <v>3108</v>
      </c>
      <c r="M17" s="5">
        <f t="shared" si="6"/>
        <v>194.25</v>
      </c>
      <c r="N17" s="5">
        <f t="shared" si="7"/>
        <v>3302.25</v>
      </c>
      <c r="O17" s="5">
        <f t="shared" si="8"/>
        <v>22597.75</v>
      </c>
    </row>
    <row r="18" spans="1:27" x14ac:dyDescent="0.45">
      <c r="A18" s="2" t="s">
        <v>38</v>
      </c>
      <c r="B18" s="2" t="s">
        <v>39</v>
      </c>
      <c r="C18" s="4">
        <v>34000</v>
      </c>
      <c r="D18" s="2">
        <v>30</v>
      </c>
      <c r="E18" s="2">
        <v>29</v>
      </c>
      <c r="F18" s="2">
        <v>11</v>
      </c>
      <c r="G18" s="5">
        <f t="shared" si="0"/>
        <v>1133.3333333333333</v>
      </c>
      <c r="H18" s="5">
        <f t="shared" si="1"/>
        <v>32866.666666666664</v>
      </c>
      <c r="I18" s="5">
        <f t="shared" si="2"/>
        <v>141.66666666666666</v>
      </c>
      <c r="J18" s="5">
        <f t="shared" si="3"/>
        <v>1558.3333333333333</v>
      </c>
      <c r="K18" s="5">
        <f t="shared" si="4"/>
        <v>34425</v>
      </c>
      <c r="L18" s="5">
        <f t="shared" si="5"/>
        <v>4131</v>
      </c>
      <c r="M18" s="5">
        <f t="shared" si="6"/>
        <v>258.1875</v>
      </c>
      <c r="N18" s="5">
        <f t="shared" si="7"/>
        <v>4389.1875</v>
      </c>
      <c r="O18" s="5">
        <f t="shared" si="8"/>
        <v>30035.8125</v>
      </c>
    </row>
    <row r="19" spans="1:27" x14ac:dyDescent="0.45">
      <c r="A19" s="2" t="s">
        <v>40</v>
      </c>
      <c r="B19" s="2" t="s">
        <v>41</v>
      </c>
      <c r="C19" s="4">
        <v>30000</v>
      </c>
      <c r="D19" s="2">
        <v>30</v>
      </c>
      <c r="E19" s="2">
        <v>28</v>
      </c>
      <c r="F19" s="2">
        <v>8</v>
      </c>
      <c r="G19" s="5">
        <f t="shared" si="0"/>
        <v>1000</v>
      </c>
      <c r="H19" s="5">
        <f t="shared" si="1"/>
        <v>28000</v>
      </c>
      <c r="I19" s="5">
        <f t="shared" si="2"/>
        <v>125</v>
      </c>
      <c r="J19" s="5">
        <f t="shared" si="3"/>
        <v>1000</v>
      </c>
      <c r="K19" s="5">
        <f t="shared" si="4"/>
        <v>29000</v>
      </c>
      <c r="L19" s="5">
        <f t="shared" si="5"/>
        <v>3480</v>
      </c>
      <c r="M19" s="5">
        <f t="shared" si="6"/>
        <v>217.5</v>
      </c>
      <c r="N19" s="5">
        <f t="shared" si="7"/>
        <v>3697.5</v>
      </c>
      <c r="O19" s="5">
        <f t="shared" si="8"/>
        <v>25302.5</v>
      </c>
    </row>
    <row r="20" spans="1:27" x14ac:dyDescent="0.45">
      <c r="A20" s="2" t="s">
        <v>42</v>
      </c>
      <c r="B20" s="2" t="s">
        <v>43</v>
      </c>
      <c r="C20" s="4">
        <v>37000</v>
      </c>
      <c r="D20" s="2">
        <v>30</v>
      </c>
      <c r="E20" s="2">
        <v>30</v>
      </c>
      <c r="F20" s="2">
        <v>16</v>
      </c>
      <c r="G20" s="5">
        <f t="shared" si="0"/>
        <v>1233.3333333333333</v>
      </c>
      <c r="H20" s="5">
        <f t="shared" si="1"/>
        <v>37000</v>
      </c>
      <c r="I20" s="5">
        <f t="shared" si="2"/>
        <v>154.16666666666666</v>
      </c>
      <c r="J20" s="5">
        <f t="shared" si="3"/>
        <v>2466.6666666666665</v>
      </c>
      <c r="K20" s="5">
        <f t="shared" si="4"/>
        <v>39466.666666666664</v>
      </c>
      <c r="L20" s="5">
        <f t="shared" si="5"/>
        <v>4735.9999999999991</v>
      </c>
      <c r="M20" s="5">
        <f t="shared" si="6"/>
        <v>295.99999999999994</v>
      </c>
      <c r="N20" s="5">
        <f t="shared" si="7"/>
        <v>5031.9999999999991</v>
      </c>
      <c r="O20" s="5">
        <f t="shared" si="8"/>
        <v>34434.666666666664</v>
      </c>
      <c r="Z20" s="8" t="s">
        <v>118</v>
      </c>
      <c r="AA20" s="9">
        <f>AVERAGE(O2:O51)</f>
        <v>29219.734166666669</v>
      </c>
    </row>
    <row r="21" spans="1:27" x14ac:dyDescent="0.45">
      <c r="A21" s="2" t="s">
        <v>44</v>
      </c>
      <c r="B21" s="2" t="s">
        <v>45</v>
      </c>
      <c r="C21" s="4">
        <v>26000</v>
      </c>
      <c r="D21" s="2">
        <v>30</v>
      </c>
      <c r="E21" s="2">
        <v>26</v>
      </c>
      <c r="F21" s="2">
        <v>5</v>
      </c>
      <c r="G21" s="5">
        <f t="shared" si="0"/>
        <v>866.66666666666663</v>
      </c>
      <c r="H21" s="5">
        <f t="shared" si="1"/>
        <v>22533.333333333332</v>
      </c>
      <c r="I21" s="5">
        <f t="shared" si="2"/>
        <v>108.33333333333333</v>
      </c>
      <c r="J21" s="5">
        <f t="shared" si="3"/>
        <v>541.66666666666663</v>
      </c>
      <c r="K21" s="5">
        <f t="shared" si="4"/>
        <v>23075</v>
      </c>
      <c r="L21" s="5">
        <f t="shared" si="5"/>
        <v>2769</v>
      </c>
      <c r="M21" s="5">
        <f t="shared" si="6"/>
        <v>173.0625</v>
      </c>
      <c r="N21" s="5">
        <f t="shared" si="7"/>
        <v>2942.0625</v>
      </c>
      <c r="O21" s="5">
        <f t="shared" si="8"/>
        <v>20132.9375</v>
      </c>
    </row>
    <row r="22" spans="1:27" x14ac:dyDescent="0.45">
      <c r="A22" s="2" t="s">
        <v>46</v>
      </c>
      <c r="B22" s="2" t="s">
        <v>47</v>
      </c>
      <c r="C22" s="4">
        <v>42000</v>
      </c>
      <c r="D22" s="2">
        <v>30</v>
      </c>
      <c r="E22" s="2">
        <v>30</v>
      </c>
      <c r="F22" s="2">
        <v>19</v>
      </c>
      <c r="G22" s="5">
        <f t="shared" si="0"/>
        <v>1400</v>
      </c>
      <c r="H22" s="5">
        <f t="shared" si="1"/>
        <v>42000</v>
      </c>
      <c r="I22" s="5">
        <f t="shared" si="2"/>
        <v>175</v>
      </c>
      <c r="J22" s="5">
        <f t="shared" si="3"/>
        <v>3325</v>
      </c>
      <c r="K22" s="5">
        <f t="shared" si="4"/>
        <v>45325</v>
      </c>
      <c r="L22" s="5">
        <f t="shared" si="5"/>
        <v>5439</v>
      </c>
      <c r="M22" s="5">
        <f t="shared" si="6"/>
        <v>339.9375</v>
      </c>
      <c r="N22" s="5">
        <f t="shared" si="7"/>
        <v>5778.9375</v>
      </c>
      <c r="O22" s="5">
        <f t="shared" si="8"/>
        <v>39546.0625</v>
      </c>
    </row>
    <row r="23" spans="1:27" x14ac:dyDescent="0.45">
      <c r="A23" s="2" t="s">
        <v>48</v>
      </c>
      <c r="B23" s="2" t="s">
        <v>49</v>
      </c>
      <c r="C23" s="4">
        <v>31000</v>
      </c>
      <c r="D23" s="2">
        <v>30</v>
      </c>
      <c r="E23" s="2">
        <v>29</v>
      </c>
      <c r="F23" s="2">
        <v>9</v>
      </c>
      <c r="G23" s="5">
        <f t="shared" si="0"/>
        <v>1033.3333333333333</v>
      </c>
      <c r="H23" s="5">
        <f t="shared" si="1"/>
        <v>29966.666666666664</v>
      </c>
      <c r="I23" s="5">
        <f t="shared" si="2"/>
        <v>129.16666666666666</v>
      </c>
      <c r="J23" s="5">
        <f t="shared" si="3"/>
        <v>1162.5</v>
      </c>
      <c r="K23" s="5">
        <f t="shared" si="4"/>
        <v>31129.166666666664</v>
      </c>
      <c r="L23" s="5">
        <f t="shared" si="5"/>
        <v>3735.4999999999995</v>
      </c>
      <c r="M23" s="5">
        <f t="shared" si="6"/>
        <v>233.46874999999997</v>
      </c>
      <c r="N23" s="5">
        <f t="shared" si="7"/>
        <v>3968.9687499999995</v>
      </c>
      <c r="O23" s="5">
        <f t="shared" si="8"/>
        <v>27160.197916666664</v>
      </c>
    </row>
    <row r="24" spans="1:27" x14ac:dyDescent="0.45">
      <c r="A24" s="2" t="s">
        <v>50</v>
      </c>
      <c r="B24" s="2" t="s">
        <v>51</v>
      </c>
      <c r="C24" s="4">
        <v>29000</v>
      </c>
      <c r="D24" s="2">
        <v>30</v>
      </c>
      <c r="E24" s="2">
        <v>27</v>
      </c>
      <c r="F24" s="2">
        <v>7</v>
      </c>
      <c r="G24" s="5">
        <f t="shared" si="0"/>
        <v>966.66666666666663</v>
      </c>
      <c r="H24" s="5">
        <f t="shared" si="1"/>
        <v>26100</v>
      </c>
      <c r="I24" s="5">
        <f t="shared" si="2"/>
        <v>120.83333333333333</v>
      </c>
      <c r="J24" s="5">
        <f t="shared" si="3"/>
        <v>845.83333333333326</v>
      </c>
      <c r="K24" s="5">
        <f t="shared" si="4"/>
        <v>26945.833333333332</v>
      </c>
      <c r="L24" s="5">
        <f t="shared" si="5"/>
        <v>3233.4999999999995</v>
      </c>
      <c r="M24" s="5">
        <f t="shared" si="6"/>
        <v>202.09374999999997</v>
      </c>
      <c r="N24" s="5">
        <f t="shared" si="7"/>
        <v>3435.5937499999995</v>
      </c>
      <c r="O24" s="5">
        <f t="shared" si="8"/>
        <v>23510.239583333332</v>
      </c>
    </row>
    <row r="25" spans="1:27" x14ac:dyDescent="0.45">
      <c r="A25" s="2" t="s">
        <v>52</v>
      </c>
      <c r="B25" s="2" t="s">
        <v>53</v>
      </c>
      <c r="C25" s="4">
        <v>35000</v>
      </c>
      <c r="D25" s="2">
        <v>30</v>
      </c>
      <c r="E25" s="2">
        <v>30</v>
      </c>
      <c r="F25" s="2">
        <v>13</v>
      </c>
      <c r="G25" s="5">
        <f t="shared" si="0"/>
        <v>1166.6666666666667</v>
      </c>
      <c r="H25" s="5">
        <f t="shared" si="1"/>
        <v>35000</v>
      </c>
      <c r="I25" s="5">
        <f t="shared" si="2"/>
        <v>145.83333333333334</v>
      </c>
      <c r="J25" s="5">
        <f t="shared" si="3"/>
        <v>1895.8333333333335</v>
      </c>
      <c r="K25" s="5">
        <f t="shared" si="4"/>
        <v>36895.833333333336</v>
      </c>
      <c r="L25" s="5">
        <f t="shared" si="5"/>
        <v>4427.5</v>
      </c>
      <c r="M25" s="5">
        <f t="shared" si="6"/>
        <v>276.71875</v>
      </c>
      <c r="N25" s="5">
        <f t="shared" si="7"/>
        <v>4704.21875</v>
      </c>
      <c r="O25" s="5">
        <f t="shared" si="8"/>
        <v>32191.614583333336</v>
      </c>
    </row>
    <row r="26" spans="1:27" x14ac:dyDescent="0.45">
      <c r="A26" s="2" t="s">
        <v>54</v>
      </c>
      <c r="B26" s="2" t="s">
        <v>55</v>
      </c>
      <c r="C26" s="4">
        <v>39000</v>
      </c>
      <c r="D26" s="2">
        <v>30</v>
      </c>
      <c r="E26" s="2">
        <v>29</v>
      </c>
      <c r="F26" s="2">
        <v>17</v>
      </c>
      <c r="G26" s="5">
        <f t="shared" si="0"/>
        <v>1300</v>
      </c>
      <c r="H26" s="5">
        <f t="shared" si="1"/>
        <v>37700</v>
      </c>
      <c r="I26" s="5">
        <f t="shared" si="2"/>
        <v>162.5</v>
      </c>
      <c r="J26" s="5">
        <f t="shared" si="3"/>
        <v>2762.5</v>
      </c>
      <c r="K26" s="5">
        <f t="shared" si="4"/>
        <v>40462.5</v>
      </c>
      <c r="L26" s="5">
        <f t="shared" si="5"/>
        <v>4855.5</v>
      </c>
      <c r="M26" s="5">
        <f t="shared" si="6"/>
        <v>303.46875</v>
      </c>
      <c r="N26" s="5">
        <f t="shared" si="7"/>
        <v>5158.96875</v>
      </c>
      <c r="O26" s="5">
        <f t="shared" si="8"/>
        <v>35303.53125</v>
      </c>
    </row>
    <row r="27" spans="1:27" x14ac:dyDescent="0.45">
      <c r="A27" s="2" t="s">
        <v>56</v>
      </c>
      <c r="B27" s="2" t="s">
        <v>57</v>
      </c>
      <c r="C27" s="4">
        <v>27000</v>
      </c>
      <c r="D27" s="2">
        <v>30</v>
      </c>
      <c r="E27" s="2">
        <v>26</v>
      </c>
      <c r="F27" s="2">
        <v>4</v>
      </c>
      <c r="G27" s="5">
        <f t="shared" si="0"/>
        <v>900</v>
      </c>
      <c r="H27" s="5">
        <f t="shared" si="1"/>
        <v>23400</v>
      </c>
      <c r="I27" s="5">
        <f t="shared" si="2"/>
        <v>112.5</v>
      </c>
      <c r="J27" s="5">
        <f t="shared" si="3"/>
        <v>450</v>
      </c>
      <c r="K27" s="5">
        <f t="shared" si="4"/>
        <v>23850</v>
      </c>
      <c r="L27" s="5">
        <f t="shared" si="5"/>
        <v>2862</v>
      </c>
      <c r="M27" s="5">
        <f t="shared" si="6"/>
        <v>178.875</v>
      </c>
      <c r="N27" s="5">
        <f t="shared" si="7"/>
        <v>3040.875</v>
      </c>
      <c r="O27" s="5">
        <f t="shared" si="8"/>
        <v>20809.125</v>
      </c>
    </row>
    <row r="28" spans="1:27" x14ac:dyDescent="0.45">
      <c r="A28" s="2" t="s">
        <v>58</v>
      </c>
      <c r="B28" s="2" t="s">
        <v>59</v>
      </c>
      <c r="C28" s="4">
        <v>43000</v>
      </c>
      <c r="D28" s="2">
        <v>30</v>
      </c>
      <c r="E28" s="2">
        <v>30</v>
      </c>
      <c r="F28" s="2">
        <v>21</v>
      </c>
      <c r="G28" s="5">
        <f t="shared" si="0"/>
        <v>1433.3333333333333</v>
      </c>
      <c r="H28" s="5">
        <f t="shared" si="1"/>
        <v>43000</v>
      </c>
      <c r="I28" s="5">
        <f t="shared" si="2"/>
        <v>179.16666666666666</v>
      </c>
      <c r="J28" s="5">
        <f t="shared" si="3"/>
        <v>3762.5</v>
      </c>
      <c r="K28" s="5">
        <f t="shared" si="4"/>
        <v>46762.5</v>
      </c>
      <c r="L28" s="5">
        <f t="shared" si="5"/>
        <v>5611.5</v>
      </c>
      <c r="M28" s="5">
        <f t="shared" si="6"/>
        <v>350.71875</v>
      </c>
      <c r="N28" s="5">
        <f t="shared" si="7"/>
        <v>5962.21875</v>
      </c>
      <c r="O28" s="5">
        <f t="shared" si="8"/>
        <v>40800.28125</v>
      </c>
    </row>
    <row r="29" spans="1:27" x14ac:dyDescent="0.45">
      <c r="A29" s="2" t="s">
        <v>60</v>
      </c>
      <c r="B29" s="2" t="s">
        <v>61</v>
      </c>
      <c r="C29" s="4">
        <v>30000</v>
      </c>
      <c r="D29" s="2">
        <v>30</v>
      </c>
      <c r="E29" s="2">
        <v>28</v>
      </c>
      <c r="F29" s="2">
        <v>8</v>
      </c>
      <c r="G29" s="5">
        <f t="shared" si="0"/>
        <v>1000</v>
      </c>
      <c r="H29" s="5">
        <f t="shared" si="1"/>
        <v>28000</v>
      </c>
      <c r="I29" s="5">
        <f t="shared" si="2"/>
        <v>125</v>
      </c>
      <c r="J29" s="5">
        <f t="shared" si="3"/>
        <v>1000</v>
      </c>
      <c r="K29" s="5">
        <f t="shared" si="4"/>
        <v>29000</v>
      </c>
      <c r="L29" s="5">
        <f t="shared" si="5"/>
        <v>3480</v>
      </c>
      <c r="M29" s="5">
        <f t="shared" si="6"/>
        <v>217.5</v>
      </c>
      <c r="N29" s="5">
        <f t="shared" si="7"/>
        <v>3697.5</v>
      </c>
      <c r="O29" s="5">
        <f t="shared" si="8"/>
        <v>25302.5</v>
      </c>
    </row>
    <row r="30" spans="1:27" x14ac:dyDescent="0.45">
      <c r="A30" s="2" t="s">
        <v>62</v>
      </c>
      <c r="B30" s="2" t="s">
        <v>63</v>
      </c>
      <c r="C30" s="4">
        <v>32000</v>
      </c>
      <c r="D30" s="2">
        <v>30</v>
      </c>
      <c r="E30" s="2">
        <v>29</v>
      </c>
      <c r="F30" s="2">
        <v>10</v>
      </c>
      <c r="G30" s="5">
        <f t="shared" si="0"/>
        <v>1066.6666666666667</v>
      </c>
      <c r="H30" s="5">
        <f t="shared" si="1"/>
        <v>30933.333333333336</v>
      </c>
      <c r="I30" s="5">
        <f t="shared" si="2"/>
        <v>133.33333333333334</v>
      </c>
      <c r="J30" s="5">
        <f t="shared" si="3"/>
        <v>1333.3333333333335</v>
      </c>
      <c r="K30" s="5">
        <f t="shared" si="4"/>
        <v>32266.666666666668</v>
      </c>
      <c r="L30" s="5">
        <f t="shared" si="5"/>
        <v>3872</v>
      </c>
      <c r="M30" s="5">
        <f t="shared" si="6"/>
        <v>242</v>
      </c>
      <c r="N30" s="5">
        <f t="shared" si="7"/>
        <v>4114</v>
      </c>
      <c r="O30" s="5">
        <f t="shared" si="8"/>
        <v>28152.666666666668</v>
      </c>
    </row>
    <row r="31" spans="1:27" x14ac:dyDescent="0.45">
      <c r="A31" s="2" t="s">
        <v>64</v>
      </c>
      <c r="B31" s="2" t="s">
        <v>65</v>
      </c>
      <c r="C31" s="4">
        <v>25000</v>
      </c>
      <c r="D31" s="2">
        <v>30</v>
      </c>
      <c r="E31" s="2">
        <v>27</v>
      </c>
      <c r="F31" s="2">
        <v>5</v>
      </c>
      <c r="G31" s="5">
        <f t="shared" si="0"/>
        <v>833.33333333333337</v>
      </c>
      <c r="H31" s="5">
        <f t="shared" si="1"/>
        <v>22500</v>
      </c>
      <c r="I31" s="5">
        <f t="shared" si="2"/>
        <v>104.16666666666667</v>
      </c>
      <c r="J31" s="5">
        <f t="shared" si="3"/>
        <v>520.83333333333337</v>
      </c>
      <c r="K31" s="5">
        <f t="shared" si="4"/>
        <v>23020.833333333332</v>
      </c>
      <c r="L31" s="5">
        <f t="shared" si="5"/>
        <v>2762.4999999999995</v>
      </c>
      <c r="M31" s="5">
        <f t="shared" si="6"/>
        <v>172.65624999999997</v>
      </c>
      <c r="N31" s="5">
        <f t="shared" si="7"/>
        <v>2935.1562499999995</v>
      </c>
      <c r="O31" s="5">
        <f t="shared" si="8"/>
        <v>20085.677083333332</v>
      </c>
    </row>
    <row r="32" spans="1:27" x14ac:dyDescent="0.45">
      <c r="A32" s="2" t="s">
        <v>66</v>
      </c>
      <c r="B32" s="2" t="s">
        <v>67</v>
      </c>
      <c r="C32" s="4">
        <v>41000</v>
      </c>
      <c r="D32" s="2">
        <v>30</v>
      </c>
      <c r="E32" s="2">
        <v>30</v>
      </c>
      <c r="F32" s="2">
        <v>18</v>
      </c>
      <c r="G32" s="5">
        <f t="shared" si="0"/>
        <v>1366.6666666666667</v>
      </c>
      <c r="H32" s="5">
        <f t="shared" si="1"/>
        <v>41000</v>
      </c>
      <c r="I32" s="5">
        <f t="shared" si="2"/>
        <v>170.83333333333334</v>
      </c>
      <c r="J32" s="5">
        <f t="shared" si="3"/>
        <v>3075</v>
      </c>
      <c r="K32" s="5">
        <f t="shared" si="4"/>
        <v>44075</v>
      </c>
      <c r="L32" s="5">
        <f t="shared" si="5"/>
        <v>5289</v>
      </c>
      <c r="M32" s="5">
        <f t="shared" si="6"/>
        <v>330.5625</v>
      </c>
      <c r="N32" s="5">
        <f t="shared" si="7"/>
        <v>5619.5625</v>
      </c>
      <c r="O32" s="5">
        <f t="shared" si="8"/>
        <v>38455.4375</v>
      </c>
    </row>
    <row r="33" spans="1:15" x14ac:dyDescent="0.45">
      <c r="A33" s="2" t="s">
        <v>68</v>
      </c>
      <c r="B33" s="2" t="s">
        <v>69</v>
      </c>
      <c r="C33" s="4">
        <v>34000</v>
      </c>
      <c r="D33" s="2">
        <v>30</v>
      </c>
      <c r="E33" s="2">
        <v>28</v>
      </c>
      <c r="F33" s="2">
        <v>11</v>
      </c>
      <c r="G33" s="5">
        <f t="shared" si="0"/>
        <v>1133.3333333333333</v>
      </c>
      <c r="H33" s="5">
        <f t="shared" si="1"/>
        <v>31733.333333333332</v>
      </c>
      <c r="I33" s="5">
        <f t="shared" si="2"/>
        <v>141.66666666666666</v>
      </c>
      <c r="J33" s="5">
        <f t="shared" si="3"/>
        <v>1558.3333333333333</v>
      </c>
      <c r="K33" s="5">
        <f t="shared" si="4"/>
        <v>33291.666666666664</v>
      </c>
      <c r="L33" s="5">
        <f t="shared" si="5"/>
        <v>3994.9999999999995</v>
      </c>
      <c r="M33" s="5">
        <f t="shared" si="6"/>
        <v>249.68749999999997</v>
      </c>
      <c r="N33" s="5">
        <f t="shared" si="7"/>
        <v>4244.6874999999991</v>
      </c>
      <c r="O33" s="5">
        <f t="shared" si="8"/>
        <v>29046.979166666664</v>
      </c>
    </row>
    <row r="34" spans="1:15" x14ac:dyDescent="0.45">
      <c r="A34" s="2" t="s">
        <v>70</v>
      </c>
      <c r="B34" s="2" t="s">
        <v>71</v>
      </c>
      <c r="C34" s="4">
        <v>36000</v>
      </c>
      <c r="D34" s="2">
        <v>30</v>
      </c>
      <c r="E34" s="2">
        <v>29</v>
      </c>
      <c r="F34" s="2">
        <v>15</v>
      </c>
      <c r="G34" s="5">
        <f t="shared" si="0"/>
        <v>1200</v>
      </c>
      <c r="H34" s="5">
        <f t="shared" si="1"/>
        <v>34800</v>
      </c>
      <c r="I34" s="5">
        <f t="shared" si="2"/>
        <v>150</v>
      </c>
      <c r="J34" s="5">
        <f t="shared" si="3"/>
        <v>2250</v>
      </c>
      <c r="K34" s="5">
        <f t="shared" si="4"/>
        <v>37050</v>
      </c>
      <c r="L34" s="5">
        <f t="shared" si="5"/>
        <v>4446</v>
      </c>
      <c r="M34" s="5">
        <f t="shared" si="6"/>
        <v>277.875</v>
      </c>
      <c r="N34" s="5">
        <f t="shared" si="7"/>
        <v>4723.875</v>
      </c>
      <c r="O34" s="5">
        <f t="shared" si="8"/>
        <v>32326.125</v>
      </c>
    </row>
    <row r="35" spans="1:15" x14ac:dyDescent="0.45">
      <c r="A35" s="2" t="s">
        <v>72</v>
      </c>
      <c r="B35" s="2" t="s">
        <v>73</v>
      </c>
      <c r="C35" s="4">
        <v>28000</v>
      </c>
      <c r="D35" s="2">
        <v>30</v>
      </c>
      <c r="E35" s="2">
        <v>27</v>
      </c>
      <c r="F35" s="2">
        <v>6</v>
      </c>
      <c r="G35" s="5">
        <f t="shared" si="0"/>
        <v>933.33333333333337</v>
      </c>
      <c r="H35" s="5">
        <f t="shared" si="1"/>
        <v>25200</v>
      </c>
      <c r="I35" s="5">
        <f t="shared" si="2"/>
        <v>116.66666666666667</v>
      </c>
      <c r="J35" s="5">
        <f t="shared" si="3"/>
        <v>700</v>
      </c>
      <c r="K35" s="5">
        <f t="shared" si="4"/>
        <v>25900</v>
      </c>
      <c r="L35" s="5">
        <f t="shared" si="5"/>
        <v>3108</v>
      </c>
      <c r="M35" s="5">
        <f t="shared" si="6"/>
        <v>194.25</v>
      </c>
      <c r="N35" s="5">
        <f t="shared" si="7"/>
        <v>3302.25</v>
      </c>
      <c r="O35" s="5">
        <f t="shared" si="8"/>
        <v>22597.75</v>
      </c>
    </row>
    <row r="36" spans="1:15" x14ac:dyDescent="0.45">
      <c r="A36" s="2" t="s">
        <v>74</v>
      </c>
      <c r="B36" s="2" t="s">
        <v>75</v>
      </c>
      <c r="C36" s="4">
        <v>47000</v>
      </c>
      <c r="D36" s="2">
        <v>30</v>
      </c>
      <c r="E36" s="2">
        <v>30</v>
      </c>
      <c r="F36" s="2">
        <v>24</v>
      </c>
      <c r="G36" s="5">
        <f t="shared" si="0"/>
        <v>1566.6666666666667</v>
      </c>
      <c r="H36" s="5">
        <f t="shared" si="1"/>
        <v>47000</v>
      </c>
      <c r="I36" s="5">
        <f t="shared" si="2"/>
        <v>195.83333333333334</v>
      </c>
      <c r="J36" s="5">
        <f t="shared" si="3"/>
        <v>4700</v>
      </c>
      <c r="K36" s="5">
        <f t="shared" si="4"/>
        <v>51700</v>
      </c>
      <c r="L36" s="5">
        <f t="shared" si="5"/>
        <v>6204</v>
      </c>
      <c r="M36" s="5">
        <f t="shared" si="6"/>
        <v>387.75</v>
      </c>
      <c r="N36" s="5">
        <f t="shared" si="7"/>
        <v>6591.75</v>
      </c>
      <c r="O36" s="5">
        <f t="shared" si="8"/>
        <v>45108.25</v>
      </c>
    </row>
    <row r="37" spans="1:15" x14ac:dyDescent="0.45">
      <c r="A37" s="2" t="s">
        <v>76</v>
      </c>
      <c r="B37" s="2" t="s">
        <v>77</v>
      </c>
      <c r="C37" s="4">
        <v>31000</v>
      </c>
      <c r="D37" s="2">
        <v>30</v>
      </c>
      <c r="E37" s="2">
        <v>28</v>
      </c>
      <c r="F37" s="2">
        <v>9</v>
      </c>
      <c r="G37" s="5">
        <f t="shared" si="0"/>
        <v>1033.3333333333333</v>
      </c>
      <c r="H37" s="5">
        <f t="shared" si="1"/>
        <v>28933.333333333332</v>
      </c>
      <c r="I37" s="5">
        <f t="shared" si="2"/>
        <v>129.16666666666666</v>
      </c>
      <c r="J37" s="5">
        <f t="shared" si="3"/>
        <v>1162.5</v>
      </c>
      <c r="K37" s="5">
        <f t="shared" si="4"/>
        <v>30095.833333333332</v>
      </c>
      <c r="L37" s="5">
        <f t="shared" si="5"/>
        <v>3611.4999999999995</v>
      </c>
      <c r="M37" s="5">
        <f t="shared" si="6"/>
        <v>225.71874999999997</v>
      </c>
      <c r="N37" s="5">
        <f t="shared" si="7"/>
        <v>3837.2187499999995</v>
      </c>
      <c r="O37" s="5">
        <f t="shared" si="8"/>
        <v>26258.614583333332</v>
      </c>
    </row>
    <row r="38" spans="1:15" x14ac:dyDescent="0.45">
      <c r="A38" s="2" t="s">
        <v>78</v>
      </c>
      <c r="B38" s="2" t="s">
        <v>79</v>
      </c>
      <c r="C38" s="4">
        <v>38000</v>
      </c>
      <c r="D38" s="2">
        <v>30</v>
      </c>
      <c r="E38" s="2">
        <v>29</v>
      </c>
      <c r="F38" s="2">
        <v>16</v>
      </c>
      <c r="G38" s="5">
        <f t="shared" si="0"/>
        <v>1266.6666666666667</v>
      </c>
      <c r="H38" s="5">
        <f t="shared" si="1"/>
        <v>36733.333333333336</v>
      </c>
      <c r="I38" s="5">
        <f t="shared" si="2"/>
        <v>158.33333333333334</v>
      </c>
      <c r="J38" s="5">
        <f t="shared" si="3"/>
        <v>2533.3333333333335</v>
      </c>
      <c r="K38" s="5">
        <f t="shared" si="4"/>
        <v>39266.666666666672</v>
      </c>
      <c r="L38" s="5">
        <f t="shared" si="5"/>
        <v>4712</v>
      </c>
      <c r="M38" s="5">
        <f t="shared" si="6"/>
        <v>294.5</v>
      </c>
      <c r="N38" s="5">
        <f t="shared" si="7"/>
        <v>5006.5</v>
      </c>
      <c r="O38" s="5">
        <f t="shared" si="8"/>
        <v>34260.166666666672</v>
      </c>
    </row>
    <row r="39" spans="1:15" x14ac:dyDescent="0.45">
      <c r="A39" s="2" t="s">
        <v>80</v>
      </c>
      <c r="B39" s="2" t="s">
        <v>81</v>
      </c>
      <c r="C39" s="4">
        <v>26000</v>
      </c>
      <c r="D39" s="2">
        <v>30</v>
      </c>
      <c r="E39" s="2">
        <v>26</v>
      </c>
      <c r="F39" s="2">
        <v>4</v>
      </c>
      <c r="G39" s="5">
        <f t="shared" si="0"/>
        <v>866.66666666666663</v>
      </c>
      <c r="H39" s="5">
        <f t="shared" si="1"/>
        <v>22533.333333333332</v>
      </c>
      <c r="I39" s="5">
        <f t="shared" si="2"/>
        <v>108.33333333333333</v>
      </c>
      <c r="J39" s="5">
        <f t="shared" si="3"/>
        <v>433.33333333333331</v>
      </c>
      <c r="K39" s="5">
        <f t="shared" si="4"/>
        <v>22966.666666666664</v>
      </c>
      <c r="L39" s="5">
        <f t="shared" si="5"/>
        <v>2755.9999999999995</v>
      </c>
      <c r="M39" s="5">
        <f t="shared" si="6"/>
        <v>172.24999999999997</v>
      </c>
      <c r="N39" s="5">
        <f t="shared" si="7"/>
        <v>2928.2499999999995</v>
      </c>
      <c r="O39" s="5">
        <f t="shared" si="8"/>
        <v>20038.416666666664</v>
      </c>
    </row>
    <row r="40" spans="1:15" x14ac:dyDescent="0.45">
      <c r="A40" s="2" t="s">
        <v>82</v>
      </c>
      <c r="B40" s="2" t="s">
        <v>83</v>
      </c>
      <c r="C40" s="4">
        <v>44000</v>
      </c>
      <c r="D40" s="2">
        <v>30</v>
      </c>
      <c r="E40" s="2">
        <v>30</v>
      </c>
      <c r="F40" s="2">
        <v>20</v>
      </c>
      <c r="G40" s="5">
        <f t="shared" si="0"/>
        <v>1466.6666666666667</v>
      </c>
      <c r="H40" s="5">
        <f t="shared" si="1"/>
        <v>44000</v>
      </c>
      <c r="I40" s="5">
        <f t="shared" si="2"/>
        <v>183.33333333333334</v>
      </c>
      <c r="J40" s="5">
        <f t="shared" si="3"/>
        <v>3666.666666666667</v>
      </c>
      <c r="K40" s="5">
        <f t="shared" si="4"/>
        <v>47666.666666666664</v>
      </c>
      <c r="L40" s="5">
        <f t="shared" si="5"/>
        <v>5719.9999999999991</v>
      </c>
      <c r="M40" s="5">
        <f t="shared" si="6"/>
        <v>357.49999999999994</v>
      </c>
      <c r="N40" s="5">
        <f t="shared" si="7"/>
        <v>6077.4999999999991</v>
      </c>
      <c r="O40" s="5">
        <f t="shared" si="8"/>
        <v>41589.166666666664</v>
      </c>
    </row>
    <row r="41" spans="1:15" x14ac:dyDescent="0.45">
      <c r="A41" s="2" t="s">
        <v>84</v>
      </c>
      <c r="B41" s="2" t="s">
        <v>85</v>
      </c>
      <c r="C41" s="4">
        <v>30000</v>
      </c>
      <c r="D41" s="2">
        <v>30</v>
      </c>
      <c r="E41" s="2">
        <v>28</v>
      </c>
      <c r="F41" s="2">
        <v>7</v>
      </c>
      <c r="G41" s="5">
        <f t="shared" si="0"/>
        <v>1000</v>
      </c>
      <c r="H41" s="5">
        <f t="shared" si="1"/>
        <v>28000</v>
      </c>
      <c r="I41" s="5">
        <f t="shared" si="2"/>
        <v>125</v>
      </c>
      <c r="J41" s="5">
        <f t="shared" si="3"/>
        <v>875</v>
      </c>
      <c r="K41" s="5">
        <f t="shared" si="4"/>
        <v>28875</v>
      </c>
      <c r="L41" s="5">
        <f t="shared" si="5"/>
        <v>3465</v>
      </c>
      <c r="M41" s="5">
        <f t="shared" si="6"/>
        <v>216.5625</v>
      </c>
      <c r="N41" s="5">
        <f t="shared" si="7"/>
        <v>3681.5625</v>
      </c>
      <c r="O41" s="5">
        <f t="shared" si="8"/>
        <v>25193.4375</v>
      </c>
    </row>
    <row r="42" spans="1:15" x14ac:dyDescent="0.45">
      <c r="A42" s="2" t="s">
        <v>86</v>
      </c>
      <c r="B42" s="2" t="s">
        <v>87</v>
      </c>
      <c r="C42" s="4">
        <v>35000</v>
      </c>
      <c r="D42" s="2">
        <v>30</v>
      </c>
      <c r="E42" s="2">
        <v>29</v>
      </c>
      <c r="F42" s="2">
        <v>12</v>
      </c>
      <c r="G42" s="5">
        <f t="shared" si="0"/>
        <v>1166.6666666666667</v>
      </c>
      <c r="H42" s="5">
        <f t="shared" si="1"/>
        <v>33833.333333333336</v>
      </c>
      <c r="I42" s="5">
        <f t="shared" si="2"/>
        <v>145.83333333333334</v>
      </c>
      <c r="J42" s="5">
        <f t="shared" si="3"/>
        <v>1750</v>
      </c>
      <c r="K42" s="5">
        <f t="shared" si="4"/>
        <v>35583.333333333336</v>
      </c>
      <c r="L42" s="5">
        <f t="shared" si="5"/>
        <v>4270</v>
      </c>
      <c r="M42" s="5">
        <f t="shared" si="6"/>
        <v>266.875</v>
      </c>
      <c r="N42" s="5">
        <f t="shared" si="7"/>
        <v>4536.875</v>
      </c>
      <c r="O42" s="5">
        <f t="shared" si="8"/>
        <v>31046.458333333336</v>
      </c>
    </row>
    <row r="43" spans="1:15" x14ac:dyDescent="0.45">
      <c r="A43" s="2" t="s">
        <v>88</v>
      </c>
      <c r="B43" s="2" t="s">
        <v>89</v>
      </c>
      <c r="C43" s="4">
        <v>27000</v>
      </c>
      <c r="D43" s="2">
        <v>30</v>
      </c>
      <c r="E43" s="2">
        <v>27</v>
      </c>
      <c r="F43" s="2">
        <v>5</v>
      </c>
      <c r="G43" s="5">
        <f t="shared" si="0"/>
        <v>900</v>
      </c>
      <c r="H43" s="5">
        <f t="shared" si="1"/>
        <v>24300</v>
      </c>
      <c r="I43" s="5">
        <f t="shared" si="2"/>
        <v>112.5</v>
      </c>
      <c r="J43" s="5">
        <f t="shared" si="3"/>
        <v>562.5</v>
      </c>
      <c r="K43" s="5">
        <f t="shared" si="4"/>
        <v>24862.5</v>
      </c>
      <c r="L43" s="5">
        <f t="shared" si="5"/>
        <v>2983.5</v>
      </c>
      <c r="M43" s="5">
        <f t="shared" si="6"/>
        <v>186.46875</v>
      </c>
      <c r="N43" s="5">
        <f t="shared" si="7"/>
        <v>3169.96875</v>
      </c>
      <c r="O43" s="5">
        <f t="shared" si="8"/>
        <v>21692.53125</v>
      </c>
    </row>
    <row r="44" spans="1:15" x14ac:dyDescent="0.45">
      <c r="A44" s="2" t="s">
        <v>90</v>
      </c>
      <c r="B44" s="2" t="s">
        <v>91</v>
      </c>
      <c r="C44" s="4">
        <v>40000</v>
      </c>
      <c r="D44" s="2">
        <v>30</v>
      </c>
      <c r="E44" s="2">
        <v>30</v>
      </c>
      <c r="F44" s="2">
        <v>19</v>
      </c>
      <c r="G44" s="5">
        <f t="shared" si="0"/>
        <v>1333.3333333333333</v>
      </c>
      <c r="H44" s="5">
        <f t="shared" si="1"/>
        <v>40000</v>
      </c>
      <c r="I44" s="5">
        <f t="shared" si="2"/>
        <v>166.66666666666666</v>
      </c>
      <c r="J44" s="5">
        <f t="shared" si="3"/>
        <v>3166.6666666666665</v>
      </c>
      <c r="K44" s="5">
        <f t="shared" si="4"/>
        <v>43166.666666666664</v>
      </c>
      <c r="L44" s="5">
        <f t="shared" si="5"/>
        <v>5179.9999999999991</v>
      </c>
      <c r="M44" s="5">
        <f t="shared" si="6"/>
        <v>323.74999999999994</v>
      </c>
      <c r="N44" s="5">
        <f t="shared" si="7"/>
        <v>5503.7499999999991</v>
      </c>
      <c r="O44" s="5">
        <f t="shared" si="8"/>
        <v>37662.916666666664</v>
      </c>
    </row>
    <row r="45" spans="1:15" x14ac:dyDescent="0.45">
      <c r="A45" s="2" t="s">
        <v>92</v>
      </c>
      <c r="B45" s="2" t="s">
        <v>93</v>
      </c>
      <c r="C45" s="4">
        <v>32000</v>
      </c>
      <c r="D45" s="2">
        <v>30</v>
      </c>
      <c r="E45" s="2">
        <v>28</v>
      </c>
      <c r="F45" s="2">
        <v>10</v>
      </c>
      <c r="G45" s="5">
        <f t="shared" si="0"/>
        <v>1066.6666666666667</v>
      </c>
      <c r="H45" s="5">
        <f t="shared" si="1"/>
        <v>29866.666666666668</v>
      </c>
      <c r="I45" s="5">
        <f t="shared" si="2"/>
        <v>133.33333333333334</v>
      </c>
      <c r="J45" s="5">
        <f t="shared" si="3"/>
        <v>1333.3333333333335</v>
      </c>
      <c r="K45" s="5">
        <f t="shared" si="4"/>
        <v>31200</v>
      </c>
      <c r="L45" s="5">
        <f t="shared" si="5"/>
        <v>3744</v>
      </c>
      <c r="M45" s="5">
        <f t="shared" si="6"/>
        <v>234</v>
      </c>
      <c r="N45" s="5">
        <f t="shared" si="7"/>
        <v>3978</v>
      </c>
      <c r="O45" s="5">
        <f t="shared" si="8"/>
        <v>27222</v>
      </c>
    </row>
    <row r="46" spans="1:15" x14ac:dyDescent="0.45">
      <c r="A46" s="2" t="s">
        <v>94</v>
      </c>
      <c r="B46" s="2" t="s">
        <v>95</v>
      </c>
      <c r="C46" s="4">
        <v>37000</v>
      </c>
      <c r="D46" s="2">
        <v>30</v>
      </c>
      <c r="E46" s="2">
        <v>29</v>
      </c>
      <c r="F46" s="2">
        <v>14</v>
      </c>
      <c r="G46" s="5">
        <f t="shared" si="0"/>
        <v>1233.3333333333333</v>
      </c>
      <c r="H46" s="5">
        <f t="shared" si="1"/>
        <v>35766.666666666664</v>
      </c>
      <c r="I46" s="5">
        <f t="shared" si="2"/>
        <v>154.16666666666666</v>
      </c>
      <c r="J46" s="5">
        <f t="shared" si="3"/>
        <v>2158.333333333333</v>
      </c>
      <c r="K46" s="5">
        <f t="shared" si="4"/>
        <v>37925</v>
      </c>
      <c r="L46" s="5">
        <f t="shared" si="5"/>
        <v>4551</v>
      </c>
      <c r="M46" s="5">
        <f t="shared" si="6"/>
        <v>284.4375</v>
      </c>
      <c r="N46" s="5">
        <f t="shared" si="7"/>
        <v>4835.4375</v>
      </c>
      <c r="O46" s="5">
        <f t="shared" si="8"/>
        <v>33089.5625</v>
      </c>
    </row>
    <row r="47" spans="1:15" x14ac:dyDescent="0.45">
      <c r="A47" s="2" t="s">
        <v>96</v>
      </c>
      <c r="B47" s="2" t="s">
        <v>97</v>
      </c>
      <c r="C47" s="4">
        <v>25000</v>
      </c>
      <c r="D47" s="2">
        <v>30</v>
      </c>
      <c r="E47" s="2">
        <v>26</v>
      </c>
      <c r="F47" s="2">
        <v>3</v>
      </c>
      <c r="G47" s="5">
        <f t="shared" si="0"/>
        <v>833.33333333333337</v>
      </c>
      <c r="H47" s="5">
        <f t="shared" si="1"/>
        <v>21666.666666666668</v>
      </c>
      <c r="I47" s="5">
        <f t="shared" si="2"/>
        <v>104.16666666666667</v>
      </c>
      <c r="J47" s="5">
        <f t="shared" si="3"/>
        <v>312.5</v>
      </c>
      <c r="K47" s="5">
        <f t="shared" si="4"/>
        <v>21979.166666666668</v>
      </c>
      <c r="L47" s="5">
        <f t="shared" si="5"/>
        <v>2637.5</v>
      </c>
      <c r="M47" s="5">
        <f t="shared" si="6"/>
        <v>164.84375</v>
      </c>
      <c r="N47" s="5">
        <f t="shared" si="7"/>
        <v>2802.34375</v>
      </c>
      <c r="O47" s="5">
        <f t="shared" si="8"/>
        <v>19176.822916666668</v>
      </c>
    </row>
    <row r="48" spans="1:15" x14ac:dyDescent="0.45">
      <c r="A48" s="2" t="s">
        <v>98</v>
      </c>
      <c r="B48" s="2" t="s">
        <v>99</v>
      </c>
      <c r="C48" s="4">
        <v>46000</v>
      </c>
      <c r="D48" s="2">
        <v>30</v>
      </c>
      <c r="E48" s="2">
        <v>30</v>
      </c>
      <c r="F48" s="2">
        <v>23</v>
      </c>
      <c r="G48" s="5">
        <f t="shared" si="0"/>
        <v>1533.3333333333333</v>
      </c>
      <c r="H48" s="5">
        <f t="shared" si="1"/>
        <v>46000</v>
      </c>
      <c r="I48" s="5">
        <f t="shared" si="2"/>
        <v>191.66666666666666</v>
      </c>
      <c r="J48" s="5">
        <f t="shared" si="3"/>
        <v>4408.333333333333</v>
      </c>
      <c r="K48" s="5">
        <f t="shared" si="4"/>
        <v>50408.333333333336</v>
      </c>
      <c r="L48" s="5">
        <f t="shared" si="5"/>
        <v>6049</v>
      </c>
      <c r="M48" s="5">
        <f t="shared" si="6"/>
        <v>378.0625</v>
      </c>
      <c r="N48" s="5">
        <f t="shared" si="7"/>
        <v>6427.0625</v>
      </c>
      <c r="O48" s="5">
        <f t="shared" si="8"/>
        <v>43981.270833333336</v>
      </c>
    </row>
    <row r="49" spans="1:15" x14ac:dyDescent="0.45">
      <c r="A49" s="2" t="s">
        <v>100</v>
      </c>
      <c r="B49" s="2" t="s">
        <v>101</v>
      </c>
      <c r="C49" s="4">
        <v>29000</v>
      </c>
      <c r="D49" s="2">
        <v>30</v>
      </c>
      <c r="E49" s="2">
        <v>28</v>
      </c>
      <c r="F49" s="2">
        <v>7</v>
      </c>
      <c r="G49" s="5">
        <f t="shared" si="0"/>
        <v>966.66666666666663</v>
      </c>
      <c r="H49" s="5">
        <f t="shared" si="1"/>
        <v>27066.666666666664</v>
      </c>
      <c r="I49" s="5">
        <f t="shared" si="2"/>
        <v>120.83333333333333</v>
      </c>
      <c r="J49" s="5">
        <f t="shared" si="3"/>
        <v>845.83333333333326</v>
      </c>
      <c r="K49" s="5">
        <f t="shared" si="4"/>
        <v>27912.499999999996</v>
      </c>
      <c r="L49" s="5">
        <f t="shared" si="5"/>
        <v>3349.4999999999995</v>
      </c>
      <c r="M49" s="5">
        <f t="shared" si="6"/>
        <v>209.34374999999997</v>
      </c>
      <c r="N49" s="5">
        <f t="shared" si="7"/>
        <v>3558.8437499999995</v>
      </c>
      <c r="O49" s="5">
        <f t="shared" si="8"/>
        <v>24353.656249999996</v>
      </c>
    </row>
    <row r="50" spans="1:15" x14ac:dyDescent="0.45">
      <c r="A50" s="2" t="s">
        <v>102</v>
      </c>
      <c r="B50" s="2" t="s">
        <v>103</v>
      </c>
      <c r="C50" s="4">
        <v>39000</v>
      </c>
      <c r="D50" s="2">
        <v>30</v>
      </c>
      <c r="E50" s="2">
        <v>29</v>
      </c>
      <c r="F50" s="2">
        <v>17</v>
      </c>
      <c r="G50" s="5">
        <f t="shared" si="0"/>
        <v>1300</v>
      </c>
      <c r="H50" s="5">
        <f t="shared" si="1"/>
        <v>37700</v>
      </c>
      <c r="I50" s="5">
        <f t="shared" si="2"/>
        <v>162.5</v>
      </c>
      <c r="J50" s="5">
        <f t="shared" si="3"/>
        <v>2762.5</v>
      </c>
      <c r="K50" s="5">
        <f t="shared" si="4"/>
        <v>40462.5</v>
      </c>
      <c r="L50" s="5">
        <f t="shared" si="5"/>
        <v>4855.5</v>
      </c>
      <c r="M50" s="5">
        <f t="shared" si="6"/>
        <v>303.46875</v>
      </c>
      <c r="N50" s="5">
        <f t="shared" si="7"/>
        <v>5158.96875</v>
      </c>
      <c r="O50" s="5">
        <f t="shared" si="8"/>
        <v>35303.53125</v>
      </c>
    </row>
    <row r="51" spans="1:15" x14ac:dyDescent="0.45">
      <c r="A51" s="2" t="s">
        <v>104</v>
      </c>
      <c r="B51" s="2" t="s">
        <v>105</v>
      </c>
      <c r="C51" s="4">
        <v>33000</v>
      </c>
      <c r="D51" s="2">
        <v>30</v>
      </c>
      <c r="E51" s="2">
        <v>28</v>
      </c>
      <c r="F51" s="2">
        <v>11</v>
      </c>
      <c r="G51" s="5">
        <f t="shared" si="0"/>
        <v>1100</v>
      </c>
      <c r="H51" s="5">
        <f t="shared" si="1"/>
        <v>30800</v>
      </c>
      <c r="I51" s="5">
        <f t="shared" si="2"/>
        <v>137.5</v>
      </c>
      <c r="J51" s="5">
        <f t="shared" si="3"/>
        <v>1512.5</v>
      </c>
      <c r="K51" s="5">
        <f t="shared" si="4"/>
        <v>32312.5</v>
      </c>
      <c r="L51" s="5">
        <f t="shared" si="5"/>
        <v>3877.5</v>
      </c>
      <c r="M51" s="5">
        <f t="shared" si="6"/>
        <v>242.34375</v>
      </c>
      <c r="N51" s="5">
        <f t="shared" si="7"/>
        <v>4119.84375</v>
      </c>
      <c r="O51" s="5">
        <f t="shared" si="8"/>
        <v>28192.65625</v>
      </c>
    </row>
    <row r="60" spans="1:15" x14ac:dyDescent="0.45">
      <c r="G60" s="7"/>
    </row>
    <row r="64" spans="1:15" ht="31.9" customHeight="1" x14ac:dyDescent="0.45"/>
  </sheetData>
  <conditionalFormatting sqref="O1:O1048576">
    <cfRule type="cellIs" dxfId="1" priority="2" operator="greaterThan">
      <formula>30000</formula>
    </cfRule>
  </conditionalFormatting>
  <conditionalFormatting sqref="O2:O51">
    <cfRule type="cellIs" dxfId="0" priority="1" operator="lessThan">
      <formula>20000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Rithwika Panthale</dc:creator>
  <cp:lastModifiedBy>Rithwika Panthale</cp:lastModifiedBy>
  <dcterms:created xsi:type="dcterms:W3CDTF">2026-06-14T04:32:35Z</dcterms:created>
  <dcterms:modified xsi:type="dcterms:W3CDTF">2026-06-14T06:04:50Z</dcterms:modified>
</cp:coreProperties>
</file>